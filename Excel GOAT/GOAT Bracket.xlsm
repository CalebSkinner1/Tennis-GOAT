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Miscellaneous\Truly Miscellaneous\Sports\Tennis\GOAT\"/>
    </mc:Choice>
  </mc:AlternateContent>
  <bookViews>
    <workbookView xWindow="0" yWindow="456" windowWidth="25596" windowHeight="14316" tabRatio="500" activeTab="7"/>
  </bookViews>
  <sheets>
    <sheet name="Australian Open" sheetId="1" r:id="rId1"/>
    <sheet name="Bracket (A)" sheetId="2" r:id="rId2"/>
    <sheet name="French Open" sheetId="3" r:id="rId3"/>
    <sheet name="Bracket (F)" sheetId="4" r:id="rId4"/>
    <sheet name="Wimbledon" sheetId="5" r:id="rId5"/>
    <sheet name="Bracket (W)" sheetId="7" r:id="rId6"/>
    <sheet name="US Open" sheetId="9" r:id="rId7"/>
    <sheet name="Bracket (U)" sheetId="10" r:id="rId8"/>
    <sheet name="Leaderboard" sheetId="11" r:id="rId9"/>
  </sheets>
  <externalReferences>
    <externalReference r:id="rId10"/>
  </externalReferences>
  <calcPr calcId="162913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1" l="1"/>
  <c r="D8" i="1"/>
  <c r="D9" i="1"/>
  <c r="D10" i="1"/>
  <c r="E17" i="1" s="1"/>
  <c r="D11" i="1"/>
  <c r="D12" i="1"/>
  <c r="D13" i="1"/>
  <c r="E13" i="1" s="1"/>
  <c r="D14" i="1"/>
  <c r="D15" i="1"/>
  <c r="D16" i="1"/>
  <c r="D17" i="1"/>
  <c r="D18" i="1"/>
  <c r="A28" i="1"/>
  <c r="A29" i="1" s="1"/>
  <c r="B13" i="2" s="1"/>
  <c r="D7" i="3"/>
  <c r="D8" i="3"/>
  <c r="E7" i="3" s="1"/>
  <c r="D9" i="3"/>
  <c r="E9" i="3" s="1"/>
  <c r="D10" i="3"/>
  <c r="D11" i="3"/>
  <c r="D12" i="3"/>
  <c r="D13" i="3"/>
  <c r="E13" i="3" s="1"/>
  <c r="D14" i="3"/>
  <c r="D15" i="3"/>
  <c r="D16" i="3"/>
  <c r="D17" i="3"/>
  <c r="E17" i="3" s="1"/>
  <c r="D18" i="3"/>
  <c r="E11" i="3"/>
  <c r="A28" i="3"/>
  <c r="A29" i="3" s="1"/>
  <c r="B13" i="4" s="1"/>
  <c r="D7" i="5"/>
  <c r="D8" i="5"/>
  <c r="D9" i="5"/>
  <c r="E12" i="5" s="1"/>
  <c r="D10" i="5"/>
  <c r="D11" i="5"/>
  <c r="D12" i="5"/>
  <c r="D13" i="5"/>
  <c r="D14" i="5"/>
  <c r="D15" i="5"/>
  <c r="D16" i="5"/>
  <c r="D17" i="5"/>
  <c r="D18" i="5"/>
  <c r="E16" i="5"/>
  <c r="A28" i="5"/>
  <c r="B12" i="7" s="1"/>
  <c r="D7" i="9"/>
  <c r="D8" i="9"/>
  <c r="D9" i="9"/>
  <c r="D10" i="9"/>
  <c r="E10" i="9" s="1"/>
  <c r="D11" i="9"/>
  <c r="D12" i="9"/>
  <c r="D13" i="9"/>
  <c r="D14" i="9"/>
  <c r="D15" i="9"/>
  <c r="D16" i="9"/>
  <c r="D17" i="9"/>
  <c r="E17" i="9" s="1"/>
  <c r="D18" i="9"/>
  <c r="E18" i="9" s="1"/>
  <c r="E14" i="9"/>
  <c r="A28" i="9"/>
  <c r="A29" i="9"/>
  <c r="B13" i="10" s="1"/>
  <c r="S1" i="11"/>
  <c r="B3" i="9"/>
  <c r="B36" i="9" s="1"/>
  <c r="B2" i="9"/>
  <c r="CO2" i="9" s="1"/>
  <c r="I3" i="9"/>
  <c r="G3" i="9"/>
  <c r="H3" i="9"/>
  <c r="J3" i="9"/>
  <c r="K3" i="9"/>
  <c r="L3" i="9"/>
  <c r="M3" i="9"/>
  <c r="N3" i="9"/>
  <c r="O3" i="9"/>
  <c r="P3" i="9"/>
  <c r="Q3" i="9"/>
  <c r="R3" i="9"/>
  <c r="S3" i="9"/>
  <c r="T3" i="9"/>
  <c r="AG3" i="9" s="1"/>
  <c r="BE3" i="9" s="1"/>
  <c r="BZ3" i="9" s="1"/>
  <c r="CP3" i="9" s="1"/>
  <c r="U3" i="9"/>
  <c r="V3" i="9"/>
  <c r="W3" i="9"/>
  <c r="X3" i="9"/>
  <c r="AI3" i="9" s="1"/>
  <c r="BG3" i="9" s="1"/>
  <c r="CA3" i="9" s="1"/>
  <c r="CQ3" i="9" s="1"/>
  <c r="Y3" i="9"/>
  <c r="Z3" i="9"/>
  <c r="AA3" i="9"/>
  <c r="AB3" i="9"/>
  <c r="AJ3" i="9" s="1"/>
  <c r="BH3" i="9" s="1"/>
  <c r="CB3" i="9" s="1"/>
  <c r="CR3" i="9" s="1"/>
  <c r="AC3" i="9"/>
  <c r="DF3" i="9"/>
  <c r="DG3" i="9" s="1"/>
  <c r="DE3" i="9"/>
  <c r="AL3" i="9"/>
  <c r="BJ3" i="9" s="1"/>
  <c r="CD3" i="9" s="1"/>
  <c r="AN3" i="9"/>
  <c r="BL3" i="9" s="1"/>
  <c r="CF3" i="9" s="1"/>
  <c r="CV3" i="9" s="1"/>
  <c r="AO3" i="9"/>
  <c r="BM3" i="9" s="1"/>
  <c r="CG3" i="9" s="1"/>
  <c r="CW3" i="9" s="1"/>
  <c r="AP3" i="9"/>
  <c r="BN3" i="9" s="1"/>
  <c r="CH3" i="9" s="1"/>
  <c r="AQ3" i="9"/>
  <c r="BO3" i="9" s="1"/>
  <c r="CI3" i="9" s="1"/>
  <c r="CY3" i="9" s="1"/>
  <c r="AR3" i="9"/>
  <c r="BP3" i="9" s="1"/>
  <c r="CJ3" i="9" s="1"/>
  <c r="CZ3" i="9" s="1"/>
  <c r="AS3" i="9"/>
  <c r="BQ3" i="9" s="1"/>
  <c r="CK3" i="9" s="1"/>
  <c r="DA3" i="9" s="1"/>
  <c r="AT3" i="9"/>
  <c r="BR3" i="9" s="1"/>
  <c r="CL3" i="9" s="1"/>
  <c r="AU3" i="9"/>
  <c r="BS3" i="9"/>
  <c r="CM3" i="9" s="1"/>
  <c r="DD3" i="9" s="1"/>
  <c r="B20" i="10"/>
  <c r="B9" i="9"/>
  <c r="F9" i="9" s="1"/>
  <c r="B4" i="9"/>
  <c r="CO4" i="9" s="1"/>
  <c r="B5" i="9"/>
  <c r="CO5" i="9" s="1"/>
  <c r="B7" i="9"/>
  <c r="CO7" i="9" s="1"/>
  <c r="B8" i="9"/>
  <c r="CO8" i="9" s="1"/>
  <c r="J2" i="9"/>
  <c r="G2" i="9"/>
  <c r="H2" i="9"/>
  <c r="I2" i="9"/>
  <c r="K2" i="9"/>
  <c r="L2" i="9"/>
  <c r="M2" i="9"/>
  <c r="N2" i="9"/>
  <c r="O2" i="9"/>
  <c r="P2" i="9"/>
  <c r="Q2" i="9"/>
  <c r="R2" i="9"/>
  <c r="S2" i="9"/>
  <c r="T2" i="9"/>
  <c r="U2" i="9"/>
  <c r="AH2" i="9" s="1"/>
  <c r="BF2" i="9" s="1"/>
  <c r="BZ2" i="9" s="1"/>
  <c r="CP2" i="9" s="1"/>
  <c r="V2" i="9"/>
  <c r="W2" i="9"/>
  <c r="X2" i="9"/>
  <c r="Y2" i="9"/>
  <c r="AV2" i="9" s="1"/>
  <c r="BT2" i="9" s="1"/>
  <c r="CL2" i="9" s="1"/>
  <c r="DC2" i="9" s="1"/>
  <c r="Z2" i="9"/>
  <c r="AA2" i="9"/>
  <c r="AX2" i="9" s="1"/>
  <c r="BV2" i="9" s="1"/>
  <c r="CM2" i="9" s="1"/>
  <c r="DD2" i="9" s="1"/>
  <c r="AB2" i="9"/>
  <c r="AC2" i="9"/>
  <c r="DF2" i="9"/>
  <c r="DG2" i="9" s="1"/>
  <c r="DE2" i="9"/>
  <c r="AI2" i="9"/>
  <c r="BG2" i="9" s="1"/>
  <c r="CA2" i="9" s="1"/>
  <c r="CQ2" i="9" s="1"/>
  <c r="AJ2" i="9"/>
  <c r="BH2" i="9" s="1"/>
  <c r="CB2" i="9" s="1"/>
  <c r="CR2" i="9" s="1"/>
  <c r="AK2" i="9"/>
  <c r="BI2" i="9" s="1"/>
  <c r="CC2" i="9" s="1"/>
  <c r="CS2" i="9" s="1"/>
  <c r="AL2" i="9"/>
  <c r="BJ2" i="9" s="1"/>
  <c r="CD2" i="9" s="1"/>
  <c r="CT2" i="9" s="1"/>
  <c r="AM2" i="9"/>
  <c r="BK2" i="9" s="1"/>
  <c r="CE2" i="9" s="1"/>
  <c r="CU2" i="9" s="1"/>
  <c r="AN2" i="9"/>
  <c r="BL2" i="9" s="1"/>
  <c r="CF2" i="9" s="1"/>
  <c r="CV2" i="9" s="1"/>
  <c r="AO2" i="9"/>
  <c r="BM2" i="9" s="1"/>
  <c r="CG2" i="9" s="1"/>
  <c r="CW2" i="9" s="1"/>
  <c r="AQ2" i="9"/>
  <c r="BO2" i="9" s="1"/>
  <c r="CH2" i="9" s="1"/>
  <c r="CX2" i="9" s="1"/>
  <c r="AR2" i="9"/>
  <c r="BP2" i="9" s="1"/>
  <c r="CI2" i="9" s="1"/>
  <c r="CY2" i="9" s="1"/>
  <c r="AS2" i="9"/>
  <c r="BQ2" i="9" s="1"/>
  <c r="CJ2" i="9" s="1"/>
  <c r="CZ2" i="9" s="1"/>
  <c r="AT2" i="9"/>
  <c r="BR2" i="9" s="1"/>
  <c r="CK2" i="9" s="1"/>
  <c r="H4" i="9"/>
  <c r="G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AG4" i="9" s="1"/>
  <c r="BE4" i="9" s="1"/>
  <c r="CA4" i="9" s="1"/>
  <c r="W4" i="9"/>
  <c r="X4" i="9"/>
  <c r="Y4" i="9"/>
  <c r="Z4" i="9"/>
  <c r="AA4" i="9"/>
  <c r="AB4" i="9"/>
  <c r="AC4" i="9"/>
  <c r="AF4" i="9"/>
  <c r="BD4" i="9" s="1"/>
  <c r="BZ4" i="9" s="1"/>
  <c r="DF4" i="9"/>
  <c r="DG4" i="9" s="1"/>
  <c r="DE4" i="9"/>
  <c r="AK4" i="9"/>
  <c r="BI4" i="9" s="1"/>
  <c r="CE4" i="9" s="1"/>
  <c r="AL4" i="9"/>
  <c r="BJ4" i="9" s="1"/>
  <c r="CF4" i="9" s="1"/>
  <c r="AM4" i="9"/>
  <c r="BK4" i="9" s="1"/>
  <c r="CG4" i="9" s="1"/>
  <c r="CW4" i="9" s="1"/>
  <c r="AN4" i="9"/>
  <c r="BL4" i="9" s="1"/>
  <c r="CH4" i="9" s="1"/>
  <c r="AO4" i="9"/>
  <c r="BM4" i="9" s="1"/>
  <c r="CI4" i="9" s="1"/>
  <c r="AP4" i="9"/>
  <c r="BN4" i="9" s="1"/>
  <c r="CJ4" i="9" s="1"/>
  <c r="AQ4" i="9"/>
  <c r="BO4" i="9" s="1"/>
  <c r="CK4" i="9" s="1"/>
  <c r="DA4" i="9" s="1"/>
  <c r="AR4" i="9"/>
  <c r="BP4" i="9" s="1"/>
  <c r="CL4" i="9" s="1"/>
  <c r="AS4" i="9"/>
  <c r="BQ4" i="9" s="1"/>
  <c r="CM4" i="9" s="1"/>
  <c r="G5" i="9"/>
  <c r="BC5" i="9" s="1"/>
  <c r="BZ5" i="9" s="1"/>
  <c r="DF5" i="9"/>
  <c r="DG5" i="9" s="1"/>
  <c r="DE5" i="9"/>
  <c r="H5" i="9"/>
  <c r="I5" i="9"/>
  <c r="AG5" i="9" s="1"/>
  <c r="BE5" i="9" s="1"/>
  <c r="CB5" i="9" s="1"/>
  <c r="J5" i="9"/>
  <c r="K5" i="9"/>
  <c r="L5" i="9"/>
  <c r="M5" i="9"/>
  <c r="AK5" i="9" s="1"/>
  <c r="BI5" i="9" s="1"/>
  <c r="CF5" i="9" s="1"/>
  <c r="N5" i="9"/>
  <c r="O5" i="9"/>
  <c r="P5" i="9"/>
  <c r="Q5" i="9"/>
  <c r="AO5" i="9" s="1"/>
  <c r="BM5" i="9" s="1"/>
  <c r="CJ5" i="9" s="1"/>
  <c r="R5" i="9"/>
  <c r="S5" i="9"/>
  <c r="T5" i="9"/>
  <c r="U5" i="9"/>
  <c r="AS5" i="9" s="1"/>
  <c r="BQ5" i="9" s="1"/>
  <c r="CM5" i="9" s="1"/>
  <c r="V5" i="9"/>
  <c r="W5" i="9"/>
  <c r="X5" i="9"/>
  <c r="Y5" i="9"/>
  <c r="Z5" i="9"/>
  <c r="AA5" i="9"/>
  <c r="AB5" i="9"/>
  <c r="AC5" i="9"/>
  <c r="G7" i="9"/>
  <c r="H7" i="9"/>
  <c r="I7" i="9"/>
  <c r="AE7" i="9" s="1"/>
  <c r="BC7" i="9" s="1"/>
  <c r="BZ7" i="9" s="1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DF7" i="9"/>
  <c r="DG7" i="9" s="1"/>
  <c r="DE7" i="9"/>
  <c r="AF7" i="9"/>
  <c r="BD7" i="9" s="1"/>
  <c r="CA7" i="9" s="1"/>
  <c r="AG7" i="9"/>
  <c r="BE7" i="9" s="1"/>
  <c r="CB7" i="9" s="1"/>
  <c r="AH7" i="9"/>
  <c r="BF7" i="9" s="1"/>
  <c r="CC7" i="9" s="1"/>
  <c r="CS7" i="9" s="1"/>
  <c r="AI7" i="9"/>
  <c r="BG7" i="9" s="1"/>
  <c r="CD7" i="9" s="1"/>
  <c r="CT7" i="9" s="1"/>
  <c r="AJ7" i="9"/>
  <c r="BH7" i="9" s="1"/>
  <c r="CE7" i="9" s="1"/>
  <c r="AK7" i="9"/>
  <c r="BI7" i="9" s="1"/>
  <c r="CF7" i="9" s="1"/>
  <c r="CV7" i="9" s="1"/>
  <c r="AL7" i="9"/>
  <c r="BJ7" i="9" s="1"/>
  <c r="CG7" i="9" s="1"/>
  <c r="CW7" i="9" s="1"/>
  <c r="AM7" i="9"/>
  <c r="BK7" i="9" s="1"/>
  <c r="CH7" i="9" s="1"/>
  <c r="CX7" i="9" s="1"/>
  <c r="AN7" i="9"/>
  <c r="BL7" i="9" s="1"/>
  <c r="CI7" i="9" s="1"/>
  <c r="I8" i="9"/>
  <c r="AG8" i="9" s="1"/>
  <c r="BE8" i="9" s="1"/>
  <c r="BZ8" i="9" s="1"/>
  <c r="CP8" i="9" s="1"/>
  <c r="G8" i="9"/>
  <c r="H8" i="9"/>
  <c r="J8" i="9"/>
  <c r="K8" i="9"/>
  <c r="AH8" i="9" s="1"/>
  <c r="BF8" i="9" s="1"/>
  <c r="CA8" i="9" s="1"/>
  <c r="CQ8" i="9" s="1"/>
  <c r="L8" i="9"/>
  <c r="M8" i="9"/>
  <c r="N8" i="9"/>
  <c r="O8" i="9"/>
  <c r="AM8" i="9" s="1"/>
  <c r="BK8" i="9" s="1"/>
  <c r="CD8" i="9" s="1"/>
  <c r="CT8" i="9" s="1"/>
  <c r="P8" i="9"/>
  <c r="Q8" i="9"/>
  <c r="R8" i="9"/>
  <c r="S8" i="9"/>
  <c r="AQ8" i="9" s="1"/>
  <c r="BO8" i="9" s="1"/>
  <c r="CH8" i="9" s="1"/>
  <c r="CX8" i="9" s="1"/>
  <c r="T8" i="9"/>
  <c r="U8" i="9"/>
  <c r="V8" i="9"/>
  <c r="W8" i="9"/>
  <c r="AU8" i="9" s="1"/>
  <c r="BS8" i="9" s="1"/>
  <c r="CK8" i="9" s="1"/>
  <c r="DA8" i="9" s="1"/>
  <c r="X8" i="9"/>
  <c r="Y8" i="9"/>
  <c r="Z8" i="9"/>
  <c r="AA8" i="9"/>
  <c r="AB8" i="9"/>
  <c r="AC8" i="9"/>
  <c r="DF8" i="9"/>
  <c r="DE8" i="9"/>
  <c r="DG8" i="9"/>
  <c r="CO9" i="9"/>
  <c r="G9" i="9"/>
  <c r="H9" i="9"/>
  <c r="I9" i="9"/>
  <c r="J9" i="9"/>
  <c r="K9" i="9"/>
  <c r="L9" i="9"/>
  <c r="AF9" i="9" s="1"/>
  <c r="BD9" i="9" s="1"/>
  <c r="CA9" i="9" s="1"/>
  <c r="CQ9" i="9" s="1"/>
  <c r="M9" i="9"/>
  <c r="N9" i="9"/>
  <c r="O9" i="9"/>
  <c r="P9" i="9"/>
  <c r="AG9" i="9" s="1"/>
  <c r="BE9" i="9" s="1"/>
  <c r="CB9" i="9" s="1"/>
  <c r="CR9" i="9" s="1"/>
  <c r="Q9" i="9"/>
  <c r="R9" i="9"/>
  <c r="S9" i="9"/>
  <c r="T9" i="9"/>
  <c r="AR9" i="9" s="1"/>
  <c r="BP9" i="9" s="1"/>
  <c r="CL9" i="9" s="1"/>
  <c r="DB9" i="9" s="1"/>
  <c r="U9" i="9"/>
  <c r="V9" i="9"/>
  <c r="W9" i="9"/>
  <c r="X9" i="9"/>
  <c r="Y9" i="9"/>
  <c r="Z9" i="9"/>
  <c r="AA9" i="9"/>
  <c r="AB9" i="9"/>
  <c r="AC9" i="9"/>
  <c r="DF9" i="9"/>
  <c r="DG9" i="9" s="1"/>
  <c r="DE9" i="9"/>
  <c r="AO9" i="9"/>
  <c r="BM9" i="9" s="1"/>
  <c r="CJ9" i="9" s="1"/>
  <c r="CZ9" i="9" s="1"/>
  <c r="BN9" i="9"/>
  <c r="CK9" i="9" s="1"/>
  <c r="BQ9" i="9"/>
  <c r="CM9" i="9"/>
  <c r="B10" i="9"/>
  <c r="CO10" i="9" s="1"/>
  <c r="G10" i="9"/>
  <c r="AL10" i="9" s="1"/>
  <c r="BJ10" i="9" s="1"/>
  <c r="CG10" i="9" s="1"/>
  <c r="CW10" i="9" s="1"/>
  <c r="H10" i="9"/>
  <c r="I10" i="9"/>
  <c r="J10" i="9"/>
  <c r="K10" i="9"/>
  <c r="L10" i="9"/>
  <c r="M10" i="9"/>
  <c r="N10" i="9"/>
  <c r="O10" i="9"/>
  <c r="AM10" i="9" s="1"/>
  <c r="BK10" i="9" s="1"/>
  <c r="CH10" i="9" s="1"/>
  <c r="CX10" i="9" s="1"/>
  <c r="P10" i="9"/>
  <c r="Q10" i="9"/>
  <c r="R10" i="9"/>
  <c r="S10" i="9"/>
  <c r="AQ10" i="9" s="1"/>
  <c r="BO10" i="9" s="1"/>
  <c r="CJ10" i="9" s="1"/>
  <c r="CZ10" i="9" s="1"/>
  <c r="T10" i="9"/>
  <c r="U10" i="9"/>
  <c r="V10" i="9"/>
  <c r="W10" i="9"/>
  <c r="X10" i="9"/>
  <c r="Y10" i="9"/>
  <c r="Z10" i="9"/>
  <c r="AA10" i="9"/>
  <c r="AB10" i="9"/>
  <c r="AC10" i="9"/>
  <c r="DF10" i="9"/>
  <c r="DE10" i="9"/>
  <c r="DG10" i="9"/>
  <c r="DC10" i="9" s="1"/>
  <c r="BD10" i="9"/>
  <c r="CA10" i="9" s="1"/>
  <c r="CQ10" i="9" s="1"/>
  <c r="BE10" i="9"/>
  <c r="CB10" i="9"/>
  <c r="CR10" i="9" s="1"/>
  <c r="AH10" i="9"/>
  <c r="BF10" i="9" s="1"/>
  <c r="CC10" i="9" s="1"/>
  <c r="CS10" i="9" s="1"/>
  <c r="AI10" i="9"/>
  <c r="BG10" i="9" s="1"/>
  <c r="CD10" i="9" s="1"/>
  <c r="CT10" i="9" s="1"/>
  <c r="AJ10" i="9"/>
  <c r="BH10" i="9" s="1"/>
  <c r="CE10" i="9" s="1"/>
  <c r="B11" i="9"/>
  <c r="CO11" i="9" s="1"/>
  <c r="G11" i="9"/>
  <c r="H11" i="9"/>
  <c r="I11" i="9"/>
  <c r="J11" i="9"/>
  <c r="K11" i="9"/>
  <c r="AI11" i="9" s="1"/>
  <c r="BG11" i="9" s="1"/>
  <c r="CD11" i="9" s="1"/>
  <c r="L11" i="9"/>
  <c r="M11" i="9"/>
  <c r="N11" i="9"/>
  <c r="O11" i="9"/>
  <c r="P11" i="9"/>
  <c r="Q11" i="9"/>
  <c r="R11" i="9"/>
  <c r="S11" i="9"/>
  <c r="AM11" i="9" s="1"/>
  <c r="BK11" i="9" s="1"/>
  <c r="CH11" i="9" s="1"/>
  <c r="CX11" i="9" s="1"/>
  <c r="T11" i="9"/>
  <c r="U11" i="9"/>
  <c r="V11" i="9"/>
  <c r="W11" i="9"/>
  <c r="X11" i="9"/>
  <c r="Y11" i="9"/>
  <c r="Z11" i="9"/>
  <c r="AA11" i="9"/>
  <c r="AB11" i="9"/>
  <c r="AC11" i="9"/>
  <c r="DF11" i="9"/>
  <c r="DG11" i="9" s="1"/>
  <c r="DE11" i="9"/>
  <c r="BD11" i="9"/>
  <c r="CA11" i="9" s="1"/>
  <c r="AK11" i="9"/>
  <c r="BI11" i="9" s="1"/>
  <c r="CF11" i="9" s="1"/>
  <c r="CV11" i="9" s="1"/>
  <c r="B12" i="9"/>
  <c r="G12" i="9"/>
  <c r="BC12" i="9"/>
  <c r="BZ12" i="9" s="1"/>
  <c r="DE12" i="9"/>
  <c r="H12" i="9"/>
  <c r="I12" i="9"/>
  <c r="J12" i="9"/>
  <c r="K12" i="9"/>
  <c r="L12" i="9"/>
  <c r="M12" i="9"/>
  <c r="N12" i="9"/>
  <c r="O12" i="9"/>
  <c r="P12" i="9"/>
  <c r="Q12" i="9"/>
  <c r="AF12" i="9" s="1"/>
  <c r="BD12" i="9" s="1"/>
  <c r="CA12" i="9" s="1"/>
  <c r="R12" i="9"/>
  <c r="S12" i="9"/>
  <c r="T12" i="9"/>
  <c r="U12" i="9"/>
  <c r="V12" i="9"/>
  <c r="W12" i="9"/>
  <c r="X12" i="9"/>
  <c r="Y12" i="9"/>
  <c r="Z12" i="9"/>
  <c r="AA12" i="9"/>
  <c r="AB12" i="9"/>
  <c r="AC12" i="9"/>
  <c r="B13" i="9"/>
  <c r="CO13" i="9"/>
  <c r="G13" i="9"/>
  <c r="BC13" i="9" s="1"/>
  <c r="BZ13" i="9" s="1"/>
  <c r="DF13" i="9"/>
  <c r="DG13" i="9" s="1"/>
  <c r="DC13" i="9" s="1"/>
  <c r="DE13" i="9"/>
  <c r="I13" i="9"/>
  <c r="AI13" i="9" s="1"/>
  <c r="BG13" i="9" s="1"/>
  <c r="CC13" i="9" s="1"/>
  <c r="CS13" i="9" s="1"/>
  <c r="H13" i="9"/>
  <c r="J13" i="9"/>
  <c r="K13" i="9"/>
  <c r="L13" i="9"/>
  <c r="AJ13" i="9" s="1"/>
  <c r="BH13" i="9" s="1"/>
  <c r="CD13" i="9" s="1"/>
  <c r="CT13" i="9" s="1"/>
  <c r="M13" i="9"/>
  <c r="N13" i="9"/>
  <c r="O13" i="9"/>
  <c r="P13" i="9"/>
  <c r="AN13" i="9" s="1"/>
  <c r="BL13" i="9" s="1"/>
  <c r="CH13" i="9" s="1"/>
  <c r="CX13" i="9" s="1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BJ13" i="9"/>
  <c r="CF13" i="9"/>
  <c r="CV13" i="9" s="1"/>
  <c r="BM13" i="9"/>
  <c r="CI13" i="9" s="1"/>
  <c r="CY13" i="9" s="1"/>
  <c r="BN13" i="9"/>
  <c r="CJ13" i="9" s="1"/>
  <c r="AQ13" i="9"/>
  <c r="BO13" i="9" s="1"/>
  <c r="CK13" i="9" s="1"/>
  <c r="DA13" i="9" s="1"/>
  <c r="AR13" i="9"/>
  <c r="BP13" i="9" s="1"/>
  <c r="CL13" i="9" s="1"/>
  <c r="DB13" i="9" s="1"/>
  <c r="B14" i="9"/>
  <c r="CO14" i="9" s="1"/>
  <c r="H14" i="9"/>
  <c r="G14" i="9"/>
  <c r="AQ14" i="9" s="1"/>
  <c r="BO14" i="9" s="1"/>
  <c r="CI14" i="9" s="1"/>
  <c r="I14" i="9"/>
  <c r="J14" i="9"/>
  <c r="K14" i="9"/>
  <c r="L14" i="9"/>
  <c r="M14" i="9"/>
  <c r="N14" i="9"/>
  <c r="O14" i="9"/>
  <c r="P14" i="9"/>
  <c r="Q14" i="9"/>
  <c r="R14" i="9"/>
  <c r="S14" i="9"/>
  <c r="T14" i="9"/>
  <c r="BP14" i="9" s="1"/>
  <c r="CJ14" i="9" s="1"/>
  <c r="U14" i="9"/>
  <c r="BQ14" i="9" s="1"/>
  <c r="CK14" i="9" s="1"/>
  <c r="V14" i="9"/>
  <c r="W14" i="9"/>
  <c r="X14" i="9"/>
  <c r="AJ14" i="9" s="1"/>
  <c r="BH14" i="9" s="1"/>
  <c r="CD14" i="9" s="1"/>
  <c r="Y14" i="9"/>
  <c r="Z14" i="9"/>
  <c r="AA14" i="9"/>
  <c r="AB14" i="9"/>
  <c r="AC14" i="9"/>
  <c r="DF14" i="9"/>
  <c r="DG14" i="9" s="1"/>
  <c r="DB14" i="9" s="1"/>
  <c r="DE14" i="9"/>
  <c r="BK14" i="9"/>
  <c r="CG14" i="9" s="1"/>
  <c r="BL14" i="9"/>
  <c r="CH14" i="9" s="1"/>
  <c r="B15" i="9"/>
  <c r="CO15" i="9" s="1"/>
  <c r="G15" i="9"/>
  <c r="AE15" i="9" s="1"/>
  <c r="BC15" i="9" s="1"/>
  <c r="BZ15" i="9" s="1"/>
  <c r="CP15" i="9" s="1"/>
  <c r="H15" i="9"/>
  <c r="I15" i="9"/>
  <c r="J15" i="9"/>
  <c r="K15" i="9"/>
  <c r="L15" i="9"/>
  <c r="M15" i="9"/>
  <c r="N15" i="9"/>
  <c r="O15" i="9"/>
  <c r="AF15" i="9" s="1"/>
  <c r="BD15" i="9" s="1"/>
  <c r="CA15" i="9" s="1"/>
  <c r="CQ15" i="9" s="1"/>
  <c r="P15" i="9"/>
  <c r="Q15" i="9"/>
  <c r="R15" i="9"/>
  <c r="S15" i="9"/>
  <c r="T15" i="9"/>
  <c r="U15" i="9"/>
  <c r="V15" i="9"/>
  <c r="W15" i="9"/>
  <c r="X15" i="9"/>
  <c r="Y15" i="9"/>
  <c r="Z15" i="9"/>
  <c r="AA15" i="9"/>
  <c r="AJ15" i="9" s="1"/>
  <c r="BH15" i="9" s="1"/>
  <c r="CE15" i="9" s="1"/>
  <c r="CU15" i="9" s="1"/>
  <c r="AB15" i="9"/>
  <c r="AC15" i="9"/>
  <c r="DF15" i="9"/>
  <c r="DE15" i="9"/>
  <c r="DG15" i="9"/>
  <c r="BG15" i="9"/>
  <c r="CD15" i="9" s="1"/>
  <c r="CT15" i="9" s="1"/>
  <c r="BI15" i="9"/>
  <c r="CF15" i="9" s="1"/>
  <c r="CV15" i="9" s="1"/>
  <c r="AL15" i="9"/>
  <c r="BJ15" i="9" s="1"/>
  <c r="CG15" i="9" s="1"/>
  <c r="CW15" i="9" s="1"/>
  <c r="AM15" i="9"/>
  <c r="BK15" i="9" s="1"/>
  <c r="CH15" i="9" s="1"/>
  <c r="CX15" i="9" s="1"/>
  <c r="AN15" i="9"/>
  <c r="BL15" i="9" s="1"/>
  <c r="CI15" i="9" s="1"/>
  <c r="CY15" i="9" s="1"/>
  <c r="B16" i="9"/>
  <c r="CO16" i="9" s="1"/>
  <c r="H16" i="9"/>
  <c r="BD16" i="9" s="1"/>
  <c r="BZ16" i="9" s="1"/>
  <c r="I16" i="9"/>
  <c r="AG16" i="9" s="1"/>
  <c r="BE16" i="9" s="1"/>
  <c r="CA16" i="9" s="1"/>
  <c r="G16" i="9"/>
  <c r="J16" i="9"/>
  <c r="K16" i="9"/>
  <c r="BG16" i="9" s="1"/>
  <c r="CC16" i="9" s="1"/>
  <c r="L16" i="9"/>
  <c r="M16" i="9"/>
  <c r="N16" i="9"/>
  <c r="O16" i="9"/>
  <c r="P16" i="9"/>
  <c r="Q16" i="9"/>
  <c r="R16" i="9"/>
  <c r="S16" i="9"/>
  <c r="AJ16" i="9" s="1"/>
  <c r="BH16" i="9" s="1"/>
  <c r="CD16" i="9" s="1"/>
  <c r="T16" i="9"/>
  <c r="U16" i="9"/>
  <c r="V16" i="9"/>
  <c r="W16" i="9"/>
  <c r="X16" i="9"/>
  <c r="Y16" i="9"/>
  <c r="Z16" i="9"/>
  <c r="AA16" i="9"/>
  <c r="AP16" i="9" s="1"/>
  <c r="BN16" i="9" s="1"/>
  <c r="CJ16" i="9" s="1"/>
  <c r="AB16" i="9"/>
  <c r="AC16" i="9"/>
  <c r="BM16" i="9"/>
  <c r="CI16" i="9" s="1"/>
  <c r="B17" i="9"/>
  <c r="CO17" i="9" s="1"/>
  <c r="I17" i="9"/>
  <c r="BE17" i="9" s="1"/>
  <c r="BZ17" i="9" s="1"/>
  <c r="J17" i="9"/>
  <c r="BF17" i="9" s="1"/>
  <c r="CA17" i="9" s="1"/>
  <c r="K17" i="9"/>
  <c r="G17" i="9"/>
  <c r="H17" i="9"/>
  <c r="L17" i="9"/>
  <c r="M17" i="9"/>
  <c r="N17" i="9"/>
  <c r="O17" i="9"/>
  <c r="P17" i="9"/>
  <c r="Q17" i="9"/>
  <c r="R17" i="9"/>
  <c r="S17" i="9"/>
  <c r="T17" i="9"/>
  <c r="U17" i="9"/>
  <c r="AI17" i="9" s="1"/>
  <c r="BG17" i="9" s="1"/>
  <c r="CB17" i="9" s="1"/>
  <c r="V17" i="9"/>
  <c r="W17" i="9"/>
  <c r="X17" i="9"/>
  <c r="Y17" i="9"/>
  <c r="Z17" i="9"/>
  <c r="AA17" i="9"/>
  <c r="AB17" i="9"/>
  <c r="AC17" i="9"/>
  <c r="B18" i="9"/>
  <c r="CO18" i="9" s="1"/>
  <c r="G18" i="9"/>
  <c r="AE18" i="9" s="1"/>
  <c r="BC18" i="9" s="1"/>
  <c r="BZ18" i="9" s="1"/>
  <c r="CP18" i="9" s="1"/>
  <c r="H18" i="9"/>
  <c r="I18" i="9"/>
  <c r="J18" i="9"/>
  <c r="K18" i="9"/>
  <c r="L18" i="9"/>
  <c r="M18" i="9"/>
  <c r="N18" i="9"/>
  <c r="O18" i="9"/>
  <c r="P18" i="9"/>
  <c r="BL18" i="9" s="1"/>
  <c r="CH18" i="9" s="1"/>
  <c r="CX18" i="9" s="1"/>
  <c r="Q18" i="9"/>
  <c r="R18" i="9"/>
  <c r="S18" i="9"/>
  <c r="T18" i="9"/>
  <c r="U18" i="9"/>
  <c r="V18" i="9"/>
  <c r="W18" i="9"/>
  <c r="X18" i="9"/>
  <c r="AF18" i="9" s="1"/>
  <c r="BD18" i="9" s="1"/>
  <c r="CA18" i="9" s="1"/>
  <c r="CQ18" i="9" s="1"/>
  <c r="Y18" i="9"/>
  <c r="Z18" i="9"/>
  <c r="AA18" i="9"/>
  <c r="AB18" i="9"/>
  <c r="AC18" i="9"/>
  <c r="DF18" i="9"/>
  <c r="DE18" i="9"/>
  <c r="DG18" i="9"/>
  <c r="BN18" i="9"/>
  <c r="CI18" i="9" s="1"/>
  <c r="CY18" i="9" s="1"/>
  <c r="CZ18" i="9"/>
  <c r="B21" i="9"/>
  <c r="C5" i="10" s="1"/>
  <c r="F8" i="9"/>
  <c r="F7" i="9"/>
  <c r="DW21" i="9"/>
  <c r="DI21" i="9"/>
  <c r="DY21" i="9" s="1"/>
  <c r="DK21" i="9"/>
  <c r="EA21" i="9" s="1"/>
  <c r="DM21" i="9"/>
  <c r="EC21" i="9" s="1"/>
  <c r="DO21" i="9"/>
  <c r="EE21" i="9" s="1"/>
  <c r="DQ21" i="9"/>
  <c r="EG21" i="9" s="1"/>
  <c r="DU21" i="9"/>
  <c r="EK21" i="9" s="1"/>
  <c r="F16" i="9"/>
  <c r="F17" i="9"/>
  <c r="F10" i="9"/>
  <c r="F13" i="9"/>
  <c r="F15" i="9"/>
  <c r="F18" i="9"/>
  <c r="F14" i="9"/>
  <c r="F11" i="9"/>
  <c r="F12" i="9"/>
  <c r="B19" i="10"/>
  <c r="B18" i="10"/>
  <c r="B17" i="10"/>
  <c r="B16" i="10"/>
  <c r="B15" i="10"/>
  <c r="B14" i="10"/>
  <c r="B12" i="10"/>
  <c r="B11" i="10"/>
  <c r="B10" i="10"/>
  <c r="B9" i="10"/>
  <c r="B8" i="10"/>
  <c r="B7" i="10"/>
  <c r="B6" i="10"/>
  <c r="B5" i="10"/>
  <c r="D20" i="10"/>
  <c r="B14" i="5"/>
  <c r="F14" i="5"/>
  <c r="B2" i="5"/>
  <c r="CO2" i="5" s="1"/>
  <c r="B3" i="5"/>
  <c r="DF3" i="5" s="1"/>
  <c r="DG3" i="5" s="1"/>
  <c r="CO3" i="5"/>
  <c r="B4" i="5"/>
  <c r="CO4" i="5" s="1"/>
  <c r="B5" i="5"/>
  <c r="CO5" i="5"/>
  <c r="I2" i="5"/>
  <c r="G2" i="5"/>
  <c r="H2" i="5"/>
  <c r="J2" i="5"/>
  <c r="K2" i="5"/>
  <c r="L2" i="5"/>
  <c r="M2" i="5"/>
  <c r="N2" i="5"/>
  <c r="AI2" i="5" s="1"/>
  <c r="BG2" i="5" s="1"/>
  <c r="CA2" i="5" s="1"/>
  <c r="CQ2" i="5" s="1"/>
  <c r="O2" i="5"/>
  <c r="P2" i="5"/>
  <c r="Q2" i="5"/>
  <c r="R2" i="5"/>
  <c r="AL2" i="5" s="1"/>
  <c r="BJ2" i="5" s="1"/>
  <c r="CD2" i="5" s="1"/>
  <c r="CT2" i="5" s="1"/>
  <c r="S2" i="5"/>
  <c r="T2" i="5"/>
  <c r="U2" i="5"/>
  <c r="V2" i="5"/>
  <c r="AO2" i="5" s="1"/>
  <c r="BM2" i="5" s="1"/>
  <c r="CG2" i="5" s="1"/>
  <c r="CW2" i="5" s="1"/>
  <c r="W2" i="5"/>
  <c r="X2" i="5"/>
  <c r="Y2" i="5"/>
  <c r="Z2" i="5"/>
  <c r="AT2" i="5" s="1"/>
  <c r="BR2" i="5" s="1"/>
  <c r="CJ2" i="5" s="1"/>
  <c r="CZ2" i="5" s="1"/>
  <c r="AA2" i="5"/>
  <c r="AB2" i="5"/>
  <c r="AC2" i="5"/>
  <c r="AG2" i="5"/>
  <c r="BE2" i="5" s="1"/>
  <c r="BZ2" i="5" s="1"/>
  <c r="CP2" i="5" s="1"/>
  <c r="DF2" i="5"/>
  <c r="DG2" i="5" s="1"/>
  <c r="DE2" i="5"/>
  <c r="AV2" i="5"/>
  <c r="BT2" i="5" s="1"/>
  <c r="CL2" i="5" s="1"/>
  <c r="DC2" i="5" s="1"/>
  <c r="AW2" i="5"/>
  <c r="BU2" i="5" s="1"/>
  <c r="CM2" i="5" s="1"/>
  <c r="DD2" i="5" s="1"/>
  <c r="I3" i="5"/>
  <c r="G3" i="5"/>
  <c r="AK3" i="5" s="1"/>
  <c r="BI3" i="5" s="1"/>
  <c r="CC3" i="5" s="1"/>
  <c r="H3" i="5"/>
  <c r="J3" i="5"/>
  <c r="K3" i="5"/>
  <c r="AI3" i="5" s="1"/>
  <c r="BG3" i="5" s="1"/>
  <c r="CA3" i="5" s="1"/>
  <c r="L3" i="5"/>
  <c r="AJ3" i="5" s="1"/>
  <c r="BH3" i="5" s="1"/>
  <c r="CB3" i="5" s="1"/>
  <c r="M3" i="5"/>
  <c r="N3" i="5"/>
  <c r="AL3" i="5" s="1"/>
  <c r="BJ3" i="5" s="1"/>
  <c r="CD3" i="5" s="1"/>
  <c r="O3" i="5"/>
  <c r="P3" i="5"/>
  <c r="Q3" i="5"/>
  <c r="R3" i="5"/>
  <c r="S3" i="5"/>
  <c r="AG3" i="5" s="1"/>
  <c r="BE3" i="5" s="1"/>
  <c r="BZ3" i="5" s="1"/>
  <c r="T3" i="5"/>
  <c r="U3" i="5"/>
  <c r="V3" i="5"/>
  <c r="W3" i="5"/>
  <c r="AN3" i="5" s="1"/>
  <c r="BL3" i="5" s="1"/>
  <c r="CF3" i="5" s="1"/>
  <c r="X3" i="5"/>
  <c r="Y3" i="5"/>
  <c r="Z3" i="5"/>
  <c r="AA3" i="5"/>
  <c r="AP3" i="5" s="1"/>
  <c r="BN3" i="5" s="1"/>
  <c r="CH3" i="5" s="1"/>
  <c r="AB3" i="5"/>
  <c r="AC3" i="5"/>
  <c r="DE3" i="5"/>
  <c r="AV3" i="5"/>
  <c r="BT3" i="5" s="1"/>
  <c r="CM3" i="5" s="1"/>
  <c r="G4" i="5"/>
  <c r="AG4" i="5" s="1"/>
  <c r="BE4" i="5" s="1"/>
  <c r="CB4" i="5" s="1"/>
  <c r="H4" i="5"/>
  <c r="AF4" i="5" s="1"/>
  <c r="BD4" i="5" s="1"/>
  <c r="CA4" i="5" s="1"/>
  <c r="CQ4" i="5" s="1"/>
  <c r="I4" i="5"/>
  <c r="J4" i="5"/>
  <c r="BF4" i="5" s="1"/>
  <c r="CC4" i="5" s="1"/>
  <c r="CS4" i="5" s="1"/>
  <c r="K4" i="5"/>
  <c r="L4" i="5"/>
  <c r="AJ4" i="5" s="1"/>
  <c r="BH4" i="5" s="1"/>
  <c r="CE4" i="5" s="1"/>
  <c r="CU4" i="5" s="1"/>
  <c r="M4" i="5"/>
  <c r="N4" i="5"/>
  <c r="AL4" i="5" s="1"/>
  <c r="BJ4" i="5" s="1"/>
  <c r="CG4" i="5" s="1"/>
  <c r="CW4" i="5" s="1"/>
  <c r="O4" i="5"/>
  <c r="AM4" i="5" s="1"/>
  <c r="BK4" i="5" s="1"/>
  <c r="CH4" i="5" s="1"/>
  <c r="CX4" i="5" s="1"/>
  <c r="P4" i="5"/>
  <c r="AN4" i="5" s="1"/>
  <c r="BL4" i="5" s="1"/>
  <c r="CI4" i="5" s="1"/>
  <c r="CY4" i="5" s="1"/>
  <c r="Q4" i="5"/>
  <c r="R4" i="5"/>
  <c r="AP4" i="5" s="1"/>
  <c r="BN4" i="5" s="1"/>
  <c r="CK4" i="5" s="1"/>
  <c r="DA4" i="5" s="1"/>
  <c r="S4" i="5"/>
  <c r="AQ4" i="5" s="1"/>
  <c r="BO4" i="5" s="1"/>
  <c r="CL4" i="5" s="1"/>
  <c r="DB4" i="5" s="1"/>
  <c r="T4" i="5"/>
  <c r="AR4" i="5" s="1"/>
  <c r="BP4" i="5" s="1"/>
  <c r="CM4" i="5" s="1"/>
  <c r="DC4" i="5" s="1"/>
  <c r="U4" i="5"/>
  <c r="V4" i="5"/>
  <c r="W4" i="5"/>
  <c r="AE4" i="5" s="1"/>
  <c r="BC4" i="5" s="1"/>
  <c r="BZ4" i="5" s="1"/>
  <c r="CP4" i="5" s="1"/>
  <c r="X4" i="5"/>
  <c r="Y4" i="5"/>
  <c r="Z4" i="5"/>
  <c r="AA4" i="5"/>
  <c r="AB4" i="5"/>
  <c r="AC4" i="5"/>
  <c r="DF4" i="5"/>
  <c r="DE4" i="5"/>
  <c r="DG4" i="5"/>
  <c r="G5" i="5"/>
  <c r="H5" i="5"/>
  <c r="I5" i="5"/>
  <c r="J5" i="5"/>
  <c r="K5" i="5"/>
  <c r="L5" i="5"/>
  <c r="M5" i="5"/>
  <c r="N5" i="5"/>
  <c r="O5" i="5"/>
  <c r="P5" i="5"/>
  <c r="AE5" i="5" s="1"/>
  <c r="BC5" i="5" s="1"/>
  <c r="BZ5" i="5" s="1"/>
  <c r="Q5" i="5"/>
  <c r="AL5" i="5" s="1"/>
  <c r="BJ5" i="5" s="1"/>
  <c r="CF5" i="5" s="1"/>
  <c r="CV5" i="5" s="1"/>
  <c r="R5" i="5"/>
  <c r="S5" i="5"/>
  <c r="T5" i="5"/>
  <c r="AP5" i="5" s="1"/>
  <c r="BN5" i="5" s="1"/>
  <c r="CJ5" i="5" s="1"/>
  <c r="CZ5" i="5" s="1"/>
  <c r="U5" i="5"/>
  <c r="V5" i="5"/>
  <c r="W5" i="5"/>
  <c r="X5" i="5"/>
  <c r="Y5" i="5"/>
  <c r="Z5" i="5"/>
  <c r="AA5" i="5"/>
  <c r="AB5" i="5"/>
  <c r="AC5" i="5"/>
  <c r="DF5" i="5"/>
  <c r="DG5" i="5" s="1"/>
  <c r="DE5" i="5"/>
  <c r="AF5" i="5"/>
  <c r="BD5" i="5" s="1"/>
  <c r="CA5" i="5" s="1"/>
  <c r="CQ5" i="5" s="1"/>
  <c r="AG5" i="5"/>
  <c r="BE5" i="5" s="1"/>
  <c r="CB5" i="5" s="1"/>
  <c r="CR5" i="5" s="1"/>
  <c r="AI5" i="5"/>
  <c r="BG5" i="5" s="1"/>
  <c r="CC5" i="5" s="1"/>
  <c r="CS5" i="5" s="1"/>
  <c r="AJ5" i="5"/>
  <c r="BH5" i="5" s="1"/>
  <c r="CD5" i="5" s="1"/>
  <c r="BO5" i="5"/>
  <c r="CK5" i="5" s="1"/>
  <c r="DA5" i="5" s="1"/>
  <c r="AR5" i="5"/>
  <c r="BP5" i="5" s="1"/>
  <c r="CL5" i="5" s="1"/>
  <c r="DB5" i="5" s="1"/>
  <c r="AT5" i="5"/>
  <c r="BR5" i="5" s="1"/>
  <c r="CM5" i="5" s="1"/>
  <c r="DC5" i="5" s="1"/>
  <c r="B7" i="5"/>
  <c r="CO7" i="5" s="1"/>
  <c r="G7" i="5"/>
  <c r="H7" i="5"/>
  <c r="AE7" i="5" s="1"/>
  <c r="BC7" i="5" s="1"/>
  <c r="BZ7" i="5" s="1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DF7" i="5"/>
  <c r="AF7" i="5"/>
  <c r="BD7" i="5" s="1"/>
  <c r="CA7" i="5" s="1"/>
  <c r="AG7" i="5"/>
  <c r="BE7" i="5" s="1"/>
  <c r="CB7" i="5" s="1"/>
  <c r="AH7" i="5"/>
  <c r="BF7" i="5" s="1"/>
  <c r="CC7" i="5" s="1"/>
  <c r="AI7" i="5"/>
  <c r="BG7" i="5" s="1"/>
  <c r="CD7" i="5" s="1"/>
  <c r="AJ7" i="5"/>
  <c r="BH7" i="5" s="1"/>
  <c r="CE7" i="5" s="1"/>
  <c r="AK7" i="5"/>
  <c r="BI7" i="5" s="1"/>
  <c r="CF7" i="5" s="1"/>
  <c r="AL7" i="5"/>
  <c r="BJ7" i="5" s="1"/>
  <c r="CG7" i="5" s="1"/>
  <c r="AM7" i="5"/>
  <c r="BK7" i="5" s="1"/>
  <c r="CH7" i="5" s="1"/>
  <c r="B8" i="5"/>
  <c r="CO8" i="5" s="1"/>
  <c r="G8" i="5"/>
  <c r="AE8" i="5" s="1"/>
  <c r="BC8" i="5" s="1"/>
  <c r="BZ8" i="5" s="1"/>
  <c r="CP8" i="5" s="1"/>
  <c r="H8" i="5"/>
  <c r="I8" i="5"/>
  <c r="J8" i="5"/>
  <c r="K8" i="5"/>
  <c r="L8" i="5"/>
  <c r="AF8" i="5" s="1"/>
  <c r="BD8" i="5" s="1"/>
  <c r="CA8" i="5" s="1"/>
  <c r="CQ8" i="5" s="1"/>
  <c r="M8" i="5"/>
  <c r="N8" i="5"/>
  <c r="O8" i="5"/>
  <c r="P8" i="5"/>
  <c r="AN8" i="5" s="1"/>
  <c r="BL8" i="5" s="1"/>
  <c r="CH8" i="5" s="1"/>
  <c r="CX8" i="5" s="1"/>
  <c r="Q8" i="5"/>
  <c r="R8" i="5"/>
  <c r="S8" i="5"/>
  <c r="T8" i="5"/>
  <c r="U8" i="5"/>
  <c r="V8" i="5"/>
  <c r="W8" i="5"/>
  <c r="X8" i="5"/>
  <c r="Y8" i="5"/>
  <c r="Z8" i="5"/>
  <c r="AA8" i="5"/>
  <c r="AB8" i="5"/>
  <c r="AC8" i="5"/>
  <c r="DF8" i="5"/>
  <c r="DE8" i="5"/>
  <c r="DG8" i="5"/>
  <c r="B9" i="5"/>
  <c r="CO9" i="5" s="1"/>
  <c r="H9" i="5"/>
  <c r="BD9" i="5"/>
  <c r="BZ9" i="5" s="1"/>
  <c r="DE9" i="5"/>
  <c r="I9" i="5"/>
  <c r="BE9" i="5"/>
  <c r="CA9" i="5"/>
  <c r="J9" i="5"/>
  <c r="BF9" i="5"/>
  <c r="CB9" i="5"/>
  <c r="K9" i="5"/>
  <c r="G9" i="5"/>
  <c r="AI9" i="5" s="1"/>
  <c r="BG9" i="5" s="1"/>
  <c r="CC9" i="5" s="1"/>
  <c r="L9" i="5"/>
  <c r="AJ9" i="5" s="1"/>
  <c r="BH9" i="5" s="1"/>
  <c r="CD9" i="5" s="1"/>
  <c r="M9" i="5"/>
  <c r="AK9" i="5" s="1"/>
  <c r="BI9" i="5" s="1"/>
  <c r="CE9" i="5" s="1"/>
  <c r="N9" i="5"/>
  <c r="O9" i="5"/>
  <c r="AM9" i="5" s="1"/>
  <c r="BK9" i="5" s="1"/>
  <c r="CG9" i="5" s="1"/>
  <c r="P9" i="5"/>
  <c r="AN9" i="5" s="1"/>
  <c r="BL9" i="5" s="1"/>
  <c r="CH9" i="5" s="1"/>
  <c r="Q9" i="5"/>
  <c r="AO9" i="5" s="1"/>
  <c r="BM9" i="5" s="1"/>
  <c r="CI9" i="5" s="1"/>
  <c r="R9" i="5"/>
  <c r="S9" i="5"/>
  <c r="AQ9" i="5" s="1"/>
  <c r="BO9" i="5" s="1"/>
  <c r="CK9" i="5" s="1"/>
  <c r="T9" i="5"/>
  <c r="AR9" i="5" s="1"/>
  <c r="BP9" i="5" s="1"/>
  <c r="CL9" i="5" s="1"/>
  <c r="U9" i="5"/>
  <c r="BQ9" i="5" s="1"/>
  <c r="CM9" i="5" s="1"/>
  <c r="V9" i="5"/>
  <c r="W9" i="5"/>
  <c r="X9" i="5"/>
  <c r="Y9" i="5"/>
  <c r="Z9" i="5"/>
  <c r="AA9" i="5"/>
  <c r="AB9" i="5"/>
  <c r="AC9" i="5"/>
  <c r="B10" i="5"/>
  <c r="CO10" i="5" s="1"/>
  <c r="G10" i="5"/>
  <c r="AE10" i="5" s="1"/>
  <c r="BC10" i="5" s="1"/>
  <c r="BZ10" i="5" s="1"/>
  <c r="H10" i="5"/>
  <c r="I10" i="5"/>
  <c r="J10" i="5"/>
  <c r="K10" i="5"/>
  <c r="L10" i="5"/>
  <c r="AL10" i="5" s="1"/>
  <c r="BJ10" i="5" s="1"/>
  <c r="CG10" i="5" s="1"/>
  <c r="M10" i="5"/>
  <c r="N10" i="5"/>
  <c r="O10" i="5"/>
  <c r="P10" i="5"/>
  <c r="Q10" i="5"/>
  <c r="R10" i="5"/>
  <c r="S10" i="5"/>
  <c r="T10" i="5"/>
  <c r="U10" i="5"/>
  <c r="V10" i="5"/>
  <c r="W10" i="5"/>
  <c r="X10" i="5"/>
  <c r="AS10" i="5" s="1"/>
  <c r="BQ10" i="5" s="1"/>
  <c r="CL10" i="5" s="1"/>
  <c r="Y10" i="5"/>
  <c r="Z10" i="5"/>
  <c r="AA10" i="5"/>
  <c r="AB10" i="5"/>
  <c r="AC10" i="5"/>
  <c r="DF10" i="5"/>
  <c r="BD10" i="5"/>
  <c r="CA10" i="5" s="1"/>
  <c r="AG10" i="5"/>
  <c r="BE10" i="5" s="1"/>
  <c r="CB10" i="5" s="1"/>
  <c r="AH10" i="5"/>
  <c r="BF10" i="5" s="1"/>
  <c r="CC10" i="5" s="1"/>
  <c r="AI10" i="5"/>
  <c r="BG10" i="5" s="1"/>
  <c r="CD10" i="5" s="1"/>
  <c r="AJ10" i="5"/>
  <c r="BH10" i="5" s="1"/>
  <c r="CE10" i="5" s="1"/>
  <c r="BN10" i="5"/>
  <c r="CI10" i="5" s="1"/>
  <c r="AQ10" i="5"/>
  <c r="BO10" i="5" s="1"/>
  <c r="CJ10" i="5" s="1"/>
  <c r="BP10" i="5"/>
  <c r="CK10" i="5" s="1"/>
  <c r="B11" i="5"/>
  <c r="CO11" i="5"/>
  <c r="G11" i="5"/>
  <c r="H11" i="5"/>
  <c r="I11" i="5"/>
  <c r="J11" i="5"/>
  <c r="K11" i="5"/>
  <c r="L11" i="5"/>
  <c r="M11" i="5"/>
  <c r="N11" i="5"/>
  <c r="O11" i="5"/>
  <c r="P11" i="5"/>
  <c r="Q11" i="5"/>
  <c r="BM11" i="5" s="1"/>
  <c r="CH11" i="5" s="1"/>
  <c r="R11" i="5"/>
  <c r="AI11" i="5" s="1"/>
  <c r="BG11" i="5" s="1"/>
  <c r="CC11" i="5" s="1"/>
  <c r="CS11" i="5" s="1"/>
  <c r="S11" i="5"/>
  <c r="T11" i="5"/>
  <c r="U11" i="5"/>
  <c r="V11" i="5"/>
  <c r="W11" i="5"/>
  <c r="X11" i="5"/>
  <c r="Y11" i="5"/>
  <c r="Z11" i="5"/>
  <c r="AA11" i="5"/>
  <c r="AB11" i="5"/>
  <c r="AC11" i="5"/>
  <c r="AE11" i="5"/>
  <c r="BC11" i="5" s="1"/>
  <c r="BZ11" i="5" s="1"/>
  <c r="CP11" i="5" s="1"/>
  <c r="DF11" i="5"/>
  <c r="DG11" i="5" s="1"/>
  <c r="DE11" i="5"/>
  <c r="BE11" i="5"/>
  <c r="CA11" i="5"/>
  <c r="CR11" i="5" s="1"/>
  <c r="BL11" i="5"/>
  <c r="CG11" i="5"/>
  <c r="BO11" i="5"/>
  <c r="CJ11" i="5" s="1"/>
  <c r="AS11" i="5"/>
  <c r="BQ11" i="5" s="1"/>
  <c r="CK11" i="5" s="1"/>
  <c r="DA11" i="5" s="1"/>
  <c r="AT11" i="5"/>
  <c r="BR11" i="5" s="1"/>
  <c r="CL11" i="5" s="1"/>
  <c r="DB11" i="5" s="1"/>
  <c r="B12" i="5"/>
  <c r="DE12" i="5" s="1"/>
  <c r="H12" i="5"/>
  <c r="BD12" i="5"/>
  <c r="BZ12" i="5"/>
  <c r="L12" i="5"/>
  <c r="G12" i="5"/>
  <c r="I12" i="5"/>
  <c r="J12" i="5"/>
  <c r="AR12" i="5" s="1"/>
  <c r="BP12" i="5" s="1"/>
  <c r="CH12" i="5" s="1"/>
  <c r="K12" i="5"/>
  <c r="M12" i="5"/>
  <c r="N12" i="5"/>
  <c r="O12" i="5"/>
  <c r="P12" i="5"/>
  <c r="Q12" i="5"/>
  <c r="R12" i="5"/>
  <c r="S12" i="5"/>
  <c r="BO12" i="5" s="1"/>
  <c r="CG12" i="5" s="1"/>
  <c r="T12" i="5"/>
  <c r="U12" i="5"/>
  <c r="V12" i="5"/>
  <c r="AT12" i="5" s="1"/>
  <c r="BR12" i="5" s="1"/>
  <c r="CJ12" i="5" s="1"/>
  <c r="W12" i="5"/>
  <c r="AJ12" i="5" s="1"/>
  <c r="BH12" i="5" s="1"/>
  <c r="CA12" i="5" s="1"/>
  <c r="X12" i="5"/>
  <c r="Y12" i="5"/>
  <c r="Z12" i="5"/>
  <c r="AA12" i="5"/>
  <c r="AB12" i="5"/>
  <c r="AC12" i="5"/>
  <c r="BM12" i="5"/>
  <c r="CF12" i="5"/>
  <c r="AV12" i="5"/>
  <c r="BT12" i="5" s="1"/>
  <c r="CL12" i="5" s="1"/>
  <c r="AY12" i="5"/>
  <c r="BW12" i="5" s="1"/>
  <c r="CM12" i="5" s="1"/>
  <c r="B13" i="5"/>
  <c r="G13" i="5"/>
  <c r="H13" i="5"/>
  <c r="I13" i="5"/>
  <c r="J13" i="5"/>
  <c r="K13" i="5"/>
  <c r="L13" i="5"/>
  <c r="AF13" i="5" s="1"/>
  <c r="BD13" i="5" s="1"/>
  <c r="CA13" i="5" s="1"/>
  <c r="M13" i="5"/>
  <c r="N13" i="5"/>
  <c r="O13" i="5"/>
  <c r="P13" i="5"/>
  <c r="Q13" i="5"/>
  <c r="R13" i="5"/>
  <c r="S13" i="5"/>
  <c r="T13" i="5"/>
  <c r="BP13" i="5" s="1"/>
  <c r="CM13" i="5" s="1"/>
  <c r="U13" i="5"/>
  <c r="V13" i="5"/>
  <c r="W13" i="5"/>
  <c r="X13" i="5"/>
  <c r="Y13" i="5"/>
  <c r="Z13" i="5"/>
  <c r="AA13" i="5"/>
  <c r="AB13" i="5"/>
  <c r="AC13" i="5"/>
  <c r="AE13" i="5"/>
  <c r="BC13" i="5" s="1"/>
  <c r="BZ13" i="5" s="1"/>
  <c r="AM13" i="5"/>
  <c r="BK13" i="5" s="1"/>
  <c r="CH13" i="5" s="1"/>
  <c r="BN13" i="5"/>
  <c r="CK13" i="5" s="1"/>
  <c r="BO13" i="5"/>
  <c r="CL13" i="5"/>
  <c r="CO14" i="5"/>
  <c r="H14" i="5"/>
  <c r="BD14" i="5"/>
  <c r="BZ14" i="5" s="1"/>
  <c r="CP14" i="5" s="1"/>
  <c r="DF14" i="5"/>
  <c r="DE14" i="5"/>
  <c r="DG14" i="5"/>
  <c r="I14" i="5"/>
  <c r="G14" i="5"/>
  <c r="J14" i="5"/>
  <c r="AJ14" i="5" s="1"/>
  <c r="BH14" i="5" s="1"/>
  <c r="CC14" i="5" s="1"/>
  <c r="K14" i="5"/>
  <c r="L14" i="5"/>
  <c r="M14" i="5"/>
  <c r="N14" i="5"/>
  <c r="AL14" i="5" s="1"/>
  <c r="BJ14" i="5" s="1"/>
  <c r="CE14" i="5" s="1"/>
  <c r="O14" i="5"/>
  <c r="P14" i="5"/>
  <c r="Q14" i="5"/>
  <c r="R14" i="5"/>
  <c r="AP14" i="5" s="1"/>
  <c r="BN14" i="5" s="1"/>
  <c r="CI14" i="5" s="1"/>
  <c r="S14" i="5"/>
  <c r="T14" i="5"/>
  <c r="U14" i="5"/>
  <c r="V14" i="5"/>
  <c r="BR14" i="5" s="1"/>
  <c r="CL14" i="5" s="1"/>
  <c r="DB14" i="5" s="1"/>
  <c r="W14" i="5"/>
  <c r="X14" i="5"/>
  <c r="Y14" i="5"/>
  <c r="Z14" i="5"/>
  <c r="AA14" i="5"/>
  <c r="AB14" i="5"/>
  <c r="AC14" i="5"/>
  <c r="AG14" i="5"/>
  <c r="BE14" i="5" s="1"/>
  <c r="CA14" i="5" s="1"/>
  <c r="CQ14" i="5" s="1"/>
  <c r="BF14" i="5"/>
  <c r="CB14" i="5" s="1"/>
  <c r="CR14" i="5" s="1"/>
  <c r="CS14" i="5"/>
  <c r="CU14" i="5"/>
  <c r="CY14" i="5"/>
  <c r="B15" i="5"/>
  <c r="G15" i="5"/>
  <c r="H15" i="5"/>
  <c r="I15" i="5"/>
  <c r="J15" i="5"/>
  <c r="K15" i="5"/>
  <c r="BG15" i="5" s="1"/>
  <c r="CD15" i="5" s="1"/>
  <c r="L15" i="5"/>
  <c r="M15" i="5"/>
  <c r="N15" i="5"/>
  <c r="O15" i="5"/>
  <c r="AM15" i="5" s="1"/>
  <c r="BK15" i="5" s="1"/>
  <c r="CH15" i="5" s="1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DF15" i="5"/>
  <c r="AF15" i="5"/>
  <c r="BD15" i="5" s="1"/>
  <c r="CA15" i="5" s="1"/>
  <c r="BF15" i="5"/>
  <c r="CC15" i="5" s="1"/>
  <c r="BH15" i="5"/>
  <c r="CE15" i="5" s="1"/>
  <c r="B16" i="5"/>
  <c r="DE16" i="5" s="1"/>
  <c r="DG16" i="5" s="1"/>
  <c r="CO16" i="5"/>
  <c r="G16" i="5"/>
  <c r="BC16" i="5"/>
  <c r="BZ16" i="5" s="1"/>
  <c r="DF16" i="5"/>
  <c r="H16" i="5"/>
  <c r="AO16" i="5" s="1"/>
  <c r="BM16" i="5" s="1"/>
  <c r="CJ16" i="5" s="1"/>
  <c r="CZ16" i="5" s="1"/>
  <c r="I16" i="5"/>
  <c r="J16" i="5"/>
  <c r="K16" i="5"/>
  <c r="L16" i="5"/>
  <c r="BH16" i="5" s="1"/>
  <c r="CE16" i="5" s="1"/>
  <c r="CU16" i="5" s="1"/>
  <c r="M16" i="5"/>
  <c r="N16" i="5"/>
  <c r="BJ16" i="5" s="1"/>
  <c r="CG16" i="5" s="1"/>
  <c r="O16" i="5"/>
  <c r="P16" i="5"/>
  <c r="AN16" i="5" s="1"/>
  <c r="BL16" i="5" s="1"/>
  <c r="CI16" i="5" s="1"/>
  <c r="CY16" i="5" s="1"/>
  <c r="Q16" i="5"/>
  <c r="R16" i="5"/>
  <c r="BN16" i="5" s="1"/>
  <c r="S16" i="5"/>
  <c r="T16" i="5"/>
  <c r="AR16" i="5" s="1"/>
  <c r="BP16" i="5" s="1"/>
  <c r="CM16" i="5" s="1"/>
  <c r="DC16" i="5" s="1"/>
  <c r="U16" i="5"/>
  <c r="V16" i="5"/>
  <c r="W16" i="5"/>
  <c r="X16" i="5"/>
  <c r="Y16" i="5"/>
  <c r="Z16" i="5"/>
  <c r="AA16" i="5"/>
  <c r="AB16" i="5"/>
  <c r="AC16" i="5"/>
  <c r="AF16" i="5"/>
  <c r="BD16" i="5" s="1"/>
  <c r="CA16" i="5" s="1"/>
  <c r="BE16" i="5"/>
  <c r="CB16" i="5" s="1"/>
  <c r="BI16" i="5"/>
  <c r="CF16" i="5" s="1"/>
  <c r="BK16" i="5"/>
  <c r="CH16" i="5" s="1"/>
  <c r="CK16" i="5"/>
  <c r="BO16" i="5"/>
  <c r="CL16" i="5" s="1"/>
  <c r="B17" i="5"/>
  <c r="DE17" i="5" s="1"/>
  <c r="DG17" i="5" s="1"/>
  <c r="CX17" i="5" s="1"/>
  <c r="CO17" i="5"/>
  <c r="G17" i="5"/>
  <c r="BC17" i="5"/>
  <c r="BZ17" i="5" s="1"/>
  <c r="DF17" i="5"/>
  <c r="I17" i="5"/>
  <c r="BE17" i="5" s="1"/>
  <c r="CA17" i="5" s="1"/>
  <c r="CQ17" i="5" s="1"/>
  <c r="K17" i="5"/>
  <c r="AI17" i="5" s="1"/>
  <c r="BG17" i="5" s="1"/>
  <c r="CB17" i="5" s="1"/>
  <c r="H17" i="5"/>
  <c r="J17" i="5"/>
  <c r="L17" i="5"/>
  <c r="M17" i="5"/>
  <c r="AK17" i="5" s="1"/>
  <c r="BI17" i="5" s="1"/>
  <c r="CD17" i="5" s="1"/>
  <c r="N17" i="5"/>
  <c r="O17" i="5"/>
  <c r="P17" i="5"/>
  <c r="BL17" i="5" s="1"/>
  <c r="Q17" i="5"/>
  <c r="R17" i="5"/>
  <c r="S17" i="5"/>
  <c r="T17" i="5"/>
  <c r="U17" i="5"/>
  <c r="V17" i="5"/>
  <c r="W17" i="5"/>
  <c r="BS17" i="5" s="1"/>
  <c r="CJ17" i="5" s="1"/>
  <c r="CZ17" i="5" s="1"/>
  <c r="X17" i="5"/>
  <c r="Y17" i="5"/>
  <c r="Z17" i="5"/>
  <c r="AA17" i="5"/>
  <c r="AB17" i="5"/>
  <c r="AC17" i="5"/>
  <c r="CG17" i="5"/>
  <c r="BN17" i="5"/>
  <c r="CH17" i="5" s="1"/>
  <c r="BP17" i="5"/>
  <c r="CI17" i="5"/>
  <c r="B18" i="5"/>
  <c r="CO18" i="5"/>
  <c r="H18" i="5"/>
  <c r="BD18" i="5"/>
  <c r="BZ18" i="5" s="1"/>
  <c r="DF18" i="5"/>
  <c r="DG18" i="5" s="1"/>
  <c r="CY18" i="5" s="1"/>
  <c r="DE18" i="5"/>
  <c r="I18" i="5"/>
  <c r="J18" i="5"/>
  <c r="G18" i="5"/>
  <c r="K18" i="5"/>
  <c r="BG18" i="5" s="1"/>
  <c r="CC18" i="5" s="1"/>
  <c r="L18" i="5"/>
  <c r="M18" i="5"/>
  <c r="N18" i="5"/>
  <c r="O18" i="5"/>
  <c r="P18" i="5"/>
  <c r="Q18" i="5"/>
  <c r="BM18" i="5" s="1"/>
  <c r="CI18" i="5" s="1"/>
  <c r="R18" i="5"/>
  <c r="S18" i="5"/>
  <c r="T18" i="5"/>
  <c r="U18" i="5"/>
  <c r="V18" i="5"/>
  <c r="W18" i="5"/>
  <c r="X18" i="5"/>
  <c r="Y18" i="5"/>
  <c r="Z18" i="5"/>
  <c r="AA18" i="5"/>
  <c r="AB18" i="5"/>
  <c r="AC18" i="5"/>
  <c r="BI18" i="5"/>
  <c r="CE18" i="5" s="1"/>
  <c r="BK18" i="5"/>
  <c r="CG18" i="5" s="1"/>
  <c r="BL18" i="5"/>
  <c r="CH18" i="5"/>
  <c r="F11" i="5"/>
  <c r="F16" i="5"/>
  <c r="D5" i="10"/>
  <c r="D6" i="10"/>
  <c r="D7" i="10"/>
  <c r="F12" i="5"/>
  <c r="D8" i="10"/>
  <c r="F9" i="5"/>
  <c r="D9" i="10"/>
  <c r="F8" i="5"/>
  <c r="D10" i="10"/>
  <c r="F13" i="5"/>
  <c r="D11" i="10"/>
  <c r="D12" i="10"/>
  <c r="D13" i="10"/>
  <c r="F7" i="5"/>
  <c r="D14" i="10"/>
  <c r="F17" i="5"/>
  <c r="D15" i="10"/>
  <c r="F18" i="5"/>
  <c r="D16" i="10"/>
  <c r="D17" i="10"/>
  <c r="F10" i="5"/>
  <c r="D18" i="10"/>
  <c r="D19" i="10"/>
  <c r="AK18" i="9"/>
  <c r="BI18" i="9"/>
  <c r="CF18" i="9" s="1"/>
  <c r="BS17" i="9"/>
  <c r="CN17" i="9" s="1"/>
  <c r="BR17" i="9"/>
  <c r="CM17" i="9" s="1"/>
  <c r="BQ17" i="9"/>
  <c r="CL17" i="9" s="1"/>
  <c r="BP17" i="9"/>
  <c r="CK17" i="9" s="1"/>
  <c r="AP15" i="9"/>
  <c r="BN15" i="9" s="1"/>
  <c r="CK15" i="9"/>
  <c r="AO15" i="9"/>
  <c r="BM15" i="9"/>
  <c r="CJ15" i="9" s="1"/>
  <c r="AH13" i="9"/>
  <c r="BF13" i="9" s="1"/>
  <c r="CB13" i="9" s="1"/>
  <c r="AG11" i="9"/>
  <c r="BE11" i="9"/>
  <c r="CB11" i="9" s="1"/>
  <c r="AK10" i="9"/>
  <c r="BI10" i="9" s="1"/>
  <c r="CF10" i="9" s="1"/>
  <c r="AT9" i="9"/>
  <c r="BR9" i="9"/>
  <c r="CN9" i="9" s="1"/>
  <c r="AX8" i="9"/>
  <c r="BV8" i="9" s="1"/>
  <c r="CN8" i="9" s="1"/>
  <c r="AW8" i="9"/>
  <c r="BU8" i="9"/>
  <c r="CM8" i="9" s="1"/>
  <c r="AV8" i="9"/>
  <c r="BT8" i="9" s="1"/>
  <c r="CL8" i="9"/>
  <c r="AP7" i="9"/>
  <c r="BN7" i="9"/>
  <c r="CK7" i="9" s="1"/>
  <c r="AO7" i="9"/>
  <c r="BM7" i="9" s="1"/>
  <c r="CJ7" i="9" s="1"/>
  <c r="AJ5" i="9"/>
  <c r="BH5" i="9"/>
  <c r="CE5" i="9" s="1"/>
  <c r="BS4" i="9"/>
  <c r="CN4" i="9" s="1"/>
  <c r="AJ4" i="9"/>
  <c r="BH4" i="9" s="1"/>
  <c r="CD4" i="9" s="1"/>
  <c r="AW3" i="9"/>
  <c r="BU3" i="9"/>
  <c r="CN3" i="9" s="1"/>
  <c r="AM3" i="9"/>
  <c r="BK3" i="9" s="1"/>
  <c r="CE3" i="9" s="1"/>
  <c r="AZ2" i="9"/>
  <c r="BX2" i="9"/>
  <c r="CN2" i="9" s="1"/>
  <c r="BA18" i="9"/>
  <c r="BY18" i="9" s="1"/>
  <c r="AZ18" i="9"/>
  <c r="BX18" i="9" s="1"/>
  <c r="AY18" i="9"/>
  <c r="BW18" i="9" s="1"/>
  <c r="AX18" i="9"/>
  <c r="BV18" i="9" s="1"/>
  <c r="AW18" i="9"/>
  <c r="BU18" i="9" s="1"/>
  <c r="AV18" i="9"/>
  <c r="BT18" i="9" s="1"/>
  <c r="AU18" i="9"/>
  <c r="BS18" i="9" s="1"/>
  <c r="AT18" i="9"/>
  <c r="BR18" i="9" s="1"/>
  <c r="AS18" i="9"/>
  <c r="BQ18" i="9" s="1"/>
  <c r="AR18" i="9"/>
  <c r="BP18" i="9" s="1"/>
  <c r="AQ18" i="9"/>
  <c r="BO18" i="9" s="1"/>
  <c r="AO18" i="9"/>
  <c r="BM18" i="9" s="1"/>
  <c r="AM18" i="9"/>
  <c r="BK18" i="9" s="1"/>
  <c r="BA17" i="9"/>
  <c r="BY17" i="9" s="1"/>
  <c r="AZ17" i="9"/>
  <c r="BX17" i="9" s="1"/>
  <c r="AY17" i="9"/>
  <c r="BW17" i="9" s="1"/>
  <c r="AX17" i="9"/>
  <c r="BV17" i="9" s="1"/>
  <c r="AW17" i="9"/>
  <c r="BU17" i="9" s="1"/>
  <c r="AV17" i="9"/>
  <c r="BT17" i="9" s="1"/>
  <c r="AF17" i="9"/>
  <c r="BD17" i="9" s="1"/>
  <c r="AE17" i="9"/>
  <c r="BC17" i="9" s="1"/>
  <c r="BA16" i="9"/>
  <c r="BY16" i="9" s="1"/>
  <c r="AZ16" i="9"/>
  <c r="BX16" i="9" s="1"/>
  <c r="AY16" i="9"/>
  <c r="BW16" i="9" s="1"/>
  <c r="AX16" i="9"/>
  <c r="BV16" i="9" s="1"/>
  <c r="AW16" i="9"/>
  <c r="BU16" i="9" s="1"/>
  <c r="AV16" i="9"/>
  <c r="BT16" i="9" s="1"/>
  <c r="AU16" i="9"/>
  <c r="BS16" i="9" s="1"/>
  <c r="AT16" i="9"/>
  <c r="BR16" i="9" s="1"/>
  <c r="AS16" i="9"/>
  <c r="BQ16" i="9" s="1"/>
  <c r="AR16" i="9"/>
  <c r="BP16" i="9" s="1"/>
  <c r="AQ16" i="9"/>
  <c r="BO16" i="9" s="1"/>
  <c r="AE16" i="9"/>
  <c r="BC16" i="9" s="1"/>
  <c r="BA15" i="9"/>
  <c r="BY15" i="9" s="1"/>
  <c r="AZ15" i="9"/>
  <c r="BX15" i="9" s="1"/>
  <c r="AY15" i="9"/>
  <c r="BW15" i="9" s="1"/>
  <c r="AX15" i="9"/>
  <c r="BV15" i="9" s="1"/>
  <c r="AW15" i="9"/>
  <c r="BU15" i="9" s="1"/>
  <c r="AV15" i="9"/>
  <c r="BT15" i="9" s="1"/>
  <c r="AU15" i="9"/>
  <c r="BS15" i="9" s="1"/>
  <c r="AT15" i="9"/>
  <c r="BR15" i="9" s="1"/>
  <c r="AS15" i="9"/>
  <c r="BQ15" i="9" s="1"/>
  <c r="AR15" i="9"/>
  <c r="BP15" i="9" s="1"/>
  <c r="AQ15" i="9"/>
  <c r="BO15" i="9" s="1"/>
  <c r="BA14" i="9"/>
  <c r="BY14" i="9" s="1"/>
  <c r="AZ14" i="9"/>
  <c r="BX14" i="9" s="1"/>
  <c r="AY14" i="9"/>
  <c r="BW14" i="9" s="1"/>
  <c r="AX14" i="9"/>
  <c r="BV14" i="9" s="1"/>
  <c r="AW14" i="9"/>
  <c r="BU14" i="9" s="1"/>
  <c r="AV14" i="9"/>
  <c r="BT14" i="9" s="1"/>
  <c r="AU14" i="9"/>
  <c r="BS14" i="9" s="1"/>
  <c r="AT14" i="9"/>
  <c r="BR14" i="9" s="1"/>
  <c r="AP14" i="9"/>
  <c r="BN14" i="9" s="1"/>
  <c r="AO14" i="9"/>
  <c r="BM14" i="9" s="1"/>
  <c r="AE14" i="9"/>
  <c r="BC14" i="9" s="1"/>
  <c r="BA13" i="9"/>
  <c r="BY13" i="9" s="1"/>
  <c r="AZ13" i="9"/>
  <c r="BX13" i="9" s="1"/>
  <c r="AY13" i="9"/>
  <c r="BW13" i="9" s="1"/>
  <c r="AX13" i="9"/>
  <c r="BV13" i="9" s="1"/>
  <c r="AW13" i="9"/>
  <c r="BU13" i="9" s="1"/>
  <c r="AV13" i="9"/>
  <c r="BT13" i="9" s="1"/>
  <c r="AU13" i="9"/>
  <c r="BS13" i="9" s="1"/>
  <c r="AT13" i="9"/>
  <c r="BR13" i="9" s="1"/>
  <c r="AS13" i="9"/>
  <c r="BQ13" i="9" s="1"/>
  <c r="AF13" i="9"/>
  <c r="BD13" i="9" s="1"/>
  <c r="BA12" i="9"/>
  <c r="BY12" i="9" s="1"/>
  <c r="AZ12" i="9"/>
  <c r="BX12" i="9" s="1"/>
  <c r="AY12" i="9"/>
  <c r="BW12" i="9" s="1"/>
  <c r="AX12" i="9"/>
  <c r="BV12" i="9" s="1"/>
  <c r="AW12" i="9"/>
  <c r="BU12" i="9" s="1"/>
  <c r="AV12" i="9"/>
  <c r="BT12" i="9" s="1"/>
  <c r="AU12" i="9"/>
  <c r="BS12" i="9" s="1"/>
  <c r="AT12" i="9"/>
  <c r="BR12" i="9" s="1"/>
  <c r="AS12" i="9"/>
  <c r="BQ12" i="9" s="1"/>
  <c r="AR12" i="9"/>
  <c r="BP12" i="9" s="1"/>
  <c r="AQ12" i="9"/>
  <c r="BO12" i="9" s="1"/>
  <c r="BA11" i="9"/>
  <c r="BY11" i="9" s="1"/>
  <c r="AZ11" i="9"/>
  <c r="BX11" i="9" s="1"/>
  <c r="AY11" i="9"/>
  <c r="BW11" i="9" s="1"/>
  <c r="AX11" i="9"/>
  <c r="BV11" i="9" s="1"/>
  <c r="AW11" i="9"/>
  <c r="BU11" i="9" s="1"/>
  <c r="AV11" i="9"/>
  <c r="BT11" i="9" s="1"/>
  <c r="AU11" i="9"/>
  <c r="BS11" i="9" s="1"/>
  <c r="AT11" i="9"/>
  <c r="BR11" i="9" s="1"/>
  <c r="AS11" i="9"/>
  <c r="BQ11" i="9" s="1"/>
  <c r="AR11" i="9"/>
  <c r="BP11" i="9" s="1"/>
  <c r="AQ11" i="9"/>
  <c r="BO11" i="9" s="1"/>
  <c r="AP11" i="9"/>
  <c r="BN11" i="9" s="1"/>
  <c r="AO11" i="9"/>
  <c r="BM11" i="9" s="1"/>
  <c r="AN11" i="9"/>
  <c r="BL11" i="9" s="1"/>
  <c r="BA10" i="9"/>
  <c r="BY10" i="9" s="1"/>
  <c r="AZ10" i="9"/>
  <c r="BX10" i="9" s="1"/>
  <c r="AY10" i="9"/>
  <c r="BW10" i="9" s="1"/>
  <c r="AX10" i="9"/>
  <c r="BV10" i="9" s="1"/>
  <c r="AW10" i="9"/>
  <c r="BU10" i="9" s="1"/>
  <c r="AV10" i="9"/>
  <c r="BT10" i="9" s="1"/>
  <c r="AU10" i="9"/>
  <c r="BS10" i="9" s="1"/>
  <c r="AT10" i="9"/>
  <c r="BR10" i="9" s="1"/>
  <c r="AP10" i="9"/>
  <c r="BN10" i="9" s="1"/>
  <c r="AN10" i="9"/>
  <c r="BL10" i="9" s="1"/>
  <c r="BA9" i="9"/>
  <c r="BY9" i="9" s="1"/>
  <c r="AZ9" i="9"/>
  <c r="BX9" i="9" s="1"/>
  <c r="AY9" i="9"/>
  <c r="BW9" i="9" s="1"/>
  <c r="AX9" i="9"/>
  <c r="BV9" i="9" s="1"/>
  <c r="AW9" i="9"/>
  <c r="BU9" i="9" s="1"/>
  <c r="AV9" i="9"/>
  <c r="BT9" i="9" s="1"/>
  <c r="AU9" i="9"/>
  <c r="BS9" i="9" s="1"/>
  <c r="BA8" i="9"/>
  <c r="BY8" i="9" s="1"/>
  <c r="AZ8" i="9"/>
  <c r="BX8" i="9" s="1"/>
  <c r="AY8" i="9"/>
  <c r="BW8" i="9" s="1"/>
  <c r="AS8" i="9"/>
  <c r="BQ8" i="9" s="1"/>
  <c r="AL8" i="9"/>
  <c r="BJ8" i="9" s="1"/>
  <c r="AJ8" i="9"/>
  <c r="BH8" i="9" s="1"/>
  <c r="AF8" i="9"/>
  <c r="BD8" i="9" s="1"/>
  <c r="AE8" i="9"/>
  <c r="BC8" i="9" s="1"/>
  <c r="BA7" i="9"/>
  <c r="BY7" i="9" s="1"/>
  <c r="AZ7" i="9"/>
  <c r="BX7" i="9" s="1"/>
  <c r="AY7" i="9"/>
  <c r="BW7" i="9" s="1"/>
  <c r="AX7" i="9"/>
  <c r="BV7" i="9" s="1"/>
  <c r="AW7" i="9"/>
  <c r="BU7" i="9" s="1"/>
  <c r="AV7" i="9"/>
  <c r="BT7" i="9" s="1"/>
  <c r="AU7" i="9"/>
  <c r="BS7" i="9" s="1"/>
  <c r="AT7" i="9"/>
  <c r="BR7" i="9" s="1"/>
  <c r="AS7" i="9"/>
  <c r="BQ7" i="9" s="1"/>
  <c r="AR7" i="9"/>
  <c r="BP7" i="9" s="1"/>
  <c r="AQ7" i="9"/>
  <c r="BO7" i="9" s="1"/>
  <c r="BA5" i="9"/>
  <c r="BY5" i="9" s="1"/>
  <c r="AZ5" i="9"/>
  <c r="BX5" i="9" s="1"/>
  <c r="AY5" i="9"/>
  <c r="BW5" i="9" s="1"/>
  <c r="AX5" i="9"/>
  <c r="BV5" i="9" s="1"/>
  <c r="AW5" i="9"/>
  <c r="BU5" i="9" s="1"/>
  <c r="AV5" i="9"/>
  <c r="BT5" i="9" s="1"/>
  <c r="AU5" i="9"/>
  <c r="BS5" i="9" s="1"/>
  <c r="AT5" i="9"/>
  <c r="BR5" i="9" s="1"/>
  <c r="AP5" i="9"/>
  <c r="BN5" i="9" s="1"/>
  <c r="BA4" i="9"/>
  <c r="BY4" i="9" s="1"/>
  <c r="AZ4" i="9"/>
  <c r="BX4" i="9" s="1"/>
  <c r="AY4" i="9"/>
  <c r="BW4" i="9" s="1"/>
  <c r="AX4" i="9"/>
  <c r="BV4" i="9" s="1"/>
  <c r="AW4" i="9"/>
  <c r="BU4" i="9" s="1"/>
  <c r="AV4" i="9"/>
  <c r="BT4" i="9" s="1"/>
  <c r="AT4" i="9"/>
  <c r="BR4" i="9" s="1"/>
  <c r="AE4" i="9"/>
  <c r="BC4" i="9" s="1"/>
  <c r="BA3" i="9"/>
  <c r="BY3" i="9" s="1"/>
  <c r="AZ3" i="9"/>
  <c r="BX3" i="9" s="1"/>
  <c r="AY3" i="9"/>
  <c r="BW3" i="9" s="1"/>
  <c r="AX3" i="9"/>
  <c r="BV3" i="9" s="1"/>
  <c r="AV3" i="9"/>
  <c r="BT3" i="9" s="1"/>
  <c r="AH3" i="9"/>
  <c r="BF3" i="9" s="1"/>
  <c r="AF3" i="9"/>
  <c r="BD3" i="9" s="1"/>
  <c r="AE3" i="9"/>
  <c r="BC3" i="9" s="1"/>
  <c r="BA2" i="9"/>
  <c r="BY2" i="9" s="1"/>
  <c r="AY2" i="9"/>
  <c r="BW2" i="9" s="1"/>
  <c r="AW2" i="9"/>
  <c r="BU2" i="9" s="1"/>
  <c r="AU2" i="9"/>
  <c r="BS2" i="9" s="1"/>
  <c r="AP2" i="9"/>
  <c r="BN2" i="9" s="1"/>
  <c r="AG2" i="9"/>
  <c r="BE2" i="9" s="1"/>
  <c r="AF2" i="9"/>
  <c r="BD2" i="9" s="1"/>
  <c r="AE5" i="9"/>
  <c r="AN9" i="9"/>
  <c r="AP9" i="9"/>
  <c r="AQ9" i="9"/>
  <c r="AG10" i="9"/>
  <c r="AE13" i="9"/>
  <c r="AL13" i="9"/>
  <c r="AO13" i="9"/>
  <c r="AM14" i="9"/>
  <c r="AN14" i="9"/>
  <c r="AR14" i="9"/>
  <c r="AK15" i="9"/>
  <c r="AF16" i="9"/>
  <c r="AI16" i="9"/>
  <c r="AO16" i="9"/>
  <c r="AP18" i="9"/>
  <c r="AN18" i="9"/>
  <c r="AT17" i="9"/>
  <c r="AS17" i="9"/>
  <c r="AH17" i="9"/>
  <c r="AU17" i="9"/>
  <c r="AR17" i="9"/>
  <c r="AG17" i="9"/>
  <c r="AI15" i="9"/>
  <c r="AS14" i="9"/>
  <c r="AP13" i="9"/>
  <c r="AE12" i="9"/>
  <c r="AF11" i="9"/>
  <c r="AF10" i="9"/>
  <c r="AS9" i="9"/>
  <c r="AU4" i="9"/>
  <c r="AE2" i="9"/>
  <c r="BC2" i="9"/>
  <c r="B36" i="5"/>
  <c r="DW36" i="5" s="1"/>
  <c r="C20" i="7"/>
  <c r="B21" i="5"/>
  <c r="B20" i="7"/>
  <c r="B19" i="7"/>
  <c r="B18" i="7"/>
  <c r="B17" i="7"/>
  <c r="B16" i="7"/>
  <c r="B15" i="7"/>
  <c r="B14" i="7"/>
  <c r="B11" i="7"/>
  <c r="B10" i="7"/>
  <c r="B9" i="7"/>
  <c r="B8" i="7"/>
  <c r="B7" i="7"/>
  <c r="B6" i="7"/>
  <c r="B5" i="7"/>
  <c r="D20" i="7"/>
  <c r="B13" i="3"/>
  <c r="CO13" i="3" s="1"/>
  <c r="B2" i="3"/>
  <c r="DE2" i="3" s="1"/>
  <c r="B3" i="3"/>
  <c r="B4" i="3"/>
  <c r="B5" i="3"/>
  <c r="I2" i="3"/>
  <c r="AG2" i="3" s="1"/>
  <c r="BE2" i="3" s="1"/>
  <c r="BZ2" i="3" s="1"/>
  <c r="G2" i="3"/>
  <c r="H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DF2" i="3"/>
  <c r="DG2" i="3" s="1"/>
  <c r="AH2" i="3"/>
  <c r="BF2" i="3" s="1"/>
  <c r="CA2" i="3" s="1"/>
  <c r="AI2" i="3"/>
  <c r="BG2" i="3" s="1"/>
  <c r="CB2" i="3" s="1"/>
  <c r="CR2" i="3" s="1"/>
  <c r="AJ2" i="3"/>
  <c r="BH2" i="3" s="1"/>
  <c r="CC2" i="3" s="1"/>
  <c r="AK2" i="3"/>
  <c r="BI2" i="3" s="1"/>
  <c r="CD2" i="3" s="1"/>
  <c r="CT2" i="3" s="1"/>
  <c r="AL2" i="3"/>
  <c r="BJ2" i="3" s="1"/>
  <c r="CE2" i="3" s="1"/>
  <c r="AM2" i="3"/>
  <c r="BK2" i="3" s="1"/>
  <c r="CF2" i="3" s="1"/>
  <c r="CV2" i="3" s="1"/>
  <c r="AN2" i="3"/>
  <c r="BL2" i="3" s="1"/>
  <c r="CG2" i="3" s="1"/>
  <c r="AO2" i="3"/>
  <c r="BM2" i="3" s="1"/>
  <c r="CH2" i="3" s="1"/>
  <c r="CX2" i="3" s="1"/>
  <c r="AP2" i="3"/>
  <c r="BN2" i="3" s="1"/>
  <c r="CI2" i="3" s="1"/>
  <c r="AQ2" i="3"/>
  <c r="BO2" i="3" s="1"/>
  <c r="CJ2" i="3" s="1"/>
  <c r="CZ2" i="3" s="1"/>
  <c r="AS2" i="3"/>
  <c r="BQ2" i="3" s="1"/>
  <c r="CK2" i="3" s="1"/>
  <c r="DB2" i="3"/>
  <c r="G3" i="3"/>
  <c r="AG3" i="3" s="1"/>
  <c r="BE3" i="3" s="1"/>
  <c r="CB3" i="3" s="1"/>
  <c r="H3" i="3"/>
  <c r="I3" i="3"/>
  <c r="J3" i="3"/>
  <c r="K3" i="3"/>
  <c r="L3" i="3"/>
  <c r="M3" i="3"/>
  <c r="N3" i="3"/>
  <c r="AL3" i="3" s="1"/>
  <c r="BJ3" i="3" s="1"/>
  <c r="CF3" i="3" s="1"/>
  <c r="O3" i="3"/>
  <c r="P3" i="3"/>
  <c r="Q3" i="3"/>
  <c r="R3" i="3"/>
  <c r="AP3" i="3" s="1"/>
  <c r="BN3" i="3" s="1"/>
  <c r="CJ3" i="3" s="1"/>
  <c r="S3" i="3"/>
  <c r="T3" i="3"/>
  <c r="U3" i="3"/>
  <c r="V3" i="3"/>
  <c r="W3" i="3"/>
  <c r="X3" i="3"/>
  <c r="Y3" i="3"/>
  <c r="Z3" i="3"/>
  <c r="AA3" i="3"/>
  <c r="AB3" i="3"/>
  <c r="AC3" i="3"/>
  <c r="AE3" i="3"/>
  <c r="BC3" i="3" s="1"/>
  <c r="BZ3" i="3" s="1"/>
  <c r="DE3" i="3"/>
  <c r="AM3" i="3"/>
  <c r="BK3" i="3" s="1"/>
  <c r="CG3" i="3" s="1"/>
  <c r="AN3" i="3"/>
  <c r="BL3" i="3" s="1"/>
  <c r="CH3" i="3" s="1"/>
  <c r="AO3" i="3"/>
  <c r="BM3" i="3" s="1"/>
  <c r="CI3" i="3" s="1"/>
  <c r="AQ3" i="3"/>
  <c r="BO3" i="3" s="1"/>
  <c r="CK3" i="3" s="1"/>
  <c r="AR3" i="3"/>
  <c r="BP3" i="3" s="1"/>
  <c r="CL3" i="3" s="1"/>
  <c r="H4" i="3"/>
  <c r="G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DF4" i="3"/>
  <c r="G5" i="3"/>
  <c r="H5" i="3"/>
  <c r="I5" i="3"/>
  <c r="J5" i="3"/>
  <c r="K5" i="3"/>
  <c r="L5" i="3"/>
  <c r="M5" i="3"/>
  <c r="AG5" i="3" s="1"/>
  <c r="BE5" i="3" s="1"/>
  <c r="CB5" i="3" s="1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BA5" i="3" s="1"/>
  <c r="DF5" i="3"/>
  <c r="AF5" i="3"/>
  <c r="BD5" i="3" s="1"/>
  <c r="CA5" i="3" s="1"/>
  <c r="AH5" i="3"/>
  <c r="BF5" i="3" s="1"/>
  <c r="CC5" i="3" s="1"/>
  <c r="B7" i="3"/>
  <c r="CO7" i="3"/>
  <c r="H7" i="3"/>
  <c r="G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F7" i="3"/>
  <c r="BD7" i="3" s="1"/>
  <c r="BZ7" i="3"/>
  <c r="DF7" i="3"/>
  <c r="DE7" i="3"/>
  <c r="B8" i="3"/>
  <c r="H8" i="3"/>
  <c r="G8" i="3"/>
  <c r="I8" i="3"/>
  <c r="J8" i="3"/>
  <c r="K8" i="3"/>
  <c r="AI8" i="3" s="1"/>
  <c r="BG8" i="3" s="1"/>
  <c r="CC8" i="3" s="1"/>
  <c r="L8" i="3"/>
  <c r="M8" i="3"/>
  <c r="N8" i="3"/>
  <c r="O8" i="3"/>
  <c r="AM8" i="3" s="1"/>
  <c r="BK8" i="3" s="1"/>
  <c r="CG8" i="3" s="1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DF8" i="3"/>
  <c r="AH8" i="3"/>
  <c r="BF8" i="3" s="1"/>
  <c r="CB8" i="3" s="1"/>
  <c r="AJ8" i="3"/>
  <c r="BH8" i="3" s="1"/>
  <c r="CD8" i="3" s="1"/>
  <c r="AL8" i="3"/>
  <c r="BJ8" i="3" s="1"/>
  <c r="CF8" i="3" s="1"/>
  <c r="B9" i="3"/>
  <c r="CO9" i="3" s="1"/>
  <c r="I9" i="3"/>
  <c r="G9" i="3"/>
  <c r="H9" i="3"/>
  <c r="J9" i="3"/>
  <c r="K9" i="3"/>
  <c r="L9" i="3"/>
  <c r="M9" i="3"/>
  <c r="N9" i="3"/>
  <c r="AJ9" i="3" s="1"/>
  <c r="BH9" i="3" s="1"/>
  <c r="CC9" i="3" s="1"/>
  <c r="O9" i="3"/>
  <c r="P9" i="3"/>
  <c r="Q9" i="3"/>
  <c r="R9" i="3"/>
  <c r="AP9" i="3" s="1"/>
  <c r="BN9" i="3" s="1"/>
  <c r="CI9" i="3" s="1"/>
  <c r="S9" i="3"/>
  <c r="T9" i="3"/>
  <c r="U9" i="3"/>
  <c r="V9" i="3"/>
  <c r="W9" i="3"/>
  <c r="X9" i="3"/>
  <c r="Y9" i="3"/>
  <c r="Z9" i="3"/>
  <c r="AA9" i="3"/>
  <c r="AB9" i="3"/>
  <c r="AC9" i="3"/>
  <c r="AG9" i="3"/>
  <c r="BE9" i="3" s="1"/>
  <c r="BZ9" i="3" s="1"/>
  <c r="DF9" i="3"/>
  <c r="AI9" i="3"/>
  <c r="BG9" i="3" s="1"/>
  <c r="CB9" i="3" s="1"/>
  <c r="AK9" i="3"/>
  <c r="BI9" i="3" s="1"/>
  <c r="CD9" i="3" s="1"/>
  <c r="AM9" i="3"/>
  <c r="BK9" i="3" s="1"/>
  <c r="CF9" i="3" s="1"/>
  <c r="AO9" i="3"/>
  <c r="BM9" i="3" s="1"/>
  <c r="CH9" i="3" s="1"/>
  <c r="AQ9" i="3"/>
  <c r="BO9" i="3" s="1"/>
  <c r="CJ9" i="3" s="1"/>
  <c r="AU9" i="3"/>
  <c r="BS9" i="3" s="1"/>
  <c r="CL9" i="3" s="1"/>
  <c r="B10" i="3"/>
  <c r="J10" i="3"/>
  <c r="G10" i="3"/>
  <c r="H10" i="3"/>
  <c r="AJ10" i="3" s="1"/>
  <c r="BH10" i="3" s="1"/>
  <c r="CB10" i="3" s="1"/>
  <c r="I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DF10" i="3"/>
  <c r="AK10" i="3"/>
  <c r="BI10" i="3" s="1"/>
  <c r="CC10" i="3" s="1"/>
  <c r="B11" i="3"/>
  <c r="CO11" i="3" s="1"/>
  <c r="G11" i="3"/>
  <c r="AE11" i="3" s="1"/>
  <c r="BC11" i="3" s="1"/>
  <c r="BZ11" i="3" s="1"/>
  <c r="H11" i="3"/>
  <c r="I11" i="3"/>
  <c r="AG11" i="3" s="1"/>
  <c r="BE11" i="3" s="1"/>
  <c r="CA11" i="3" s="1"/>
  <c r="J11" i="3"/>
  <c r="K11" i="3"/>
  <c r="L11" i="3"/>
  <c r="M11" i="3"/>
  <c r="N11" i="3"/>
  <c r="AL11" i="3" s="1"/>
  <c r="BJ11" i="3" s="1"/>
  <c r="CF11" i="3" s="1"/>
  <c r="O11" i="3"/>
  <c r="P11" i="3"/>
  <c r="Q11" i="3"/>
  <c r="AO11" i="3" s="1"/>
  <c r="BM11" i="3" s="1"/>
  <c r="CH11" i="3" s="1"/>
  <c r="R11" i="3"/>
  <c r="S11" i="3"/>
  <c r="AQ11" i="3" s="1"/>
  <c r="BO11" i="3" s="1"/>
  <c r="CJ11" i="3" s="1"/>
  <c r="T11" i="3"/>
  <c r="U11" i="3"/>
  <c r="AS11" i="3" s="1"/>
  <c r="V11" i="3"/>
  <c r="W11" i="3"/>
  <c r="X11" i="3"/>
  <c r="Y11" i="3"/>
  <c r="AW11" i="3" s="1"/>
  <c r="Z11" i="3"/>
  <c r="AA11" i="3"/>
  <c r="AB11" i="3"/>
  <c r="AC11" i="3"/>
  <c r="BA11" i="3" s="1"/>
  <c r="DE11" i="3"/>
  <c r="AK11" i="3"/>
  <c r="BI11" i="3" s="1"/>
  <c r="CE11" i="3" s="1"/>
  <c r="B12" i="3"/>
  <c r="DF12" i="3" s="1"/>
  <c r="DG12" i="3" s="1"/>
  <c r="H12" i="3"/>
  <c r="G12" i="3"/>
  <c r="AF12" i="3" s="1"/>
  <c r="BD12" i="3" s="1"/>
  <c r="BZ12" i="3" s="1"/>
  <c r="I12" i="3"/>
  <c r="AJ12" i="3" s="1"/>
  <c r="BH12" i="3" s="1"/>
  <c r="CD12" i="3" s="1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DE12" i="3"/>
  <c r="AG12" i="3"/>
  <c r="BE12" i="3" s="1"/>
  <c r="CA12" i="3" s="1"/>
  <c r="AI12" i="3"/>
  <c r="BG12" i="3" s="1"/>
  <c r="CC12" i="3" s="1"/>
  <c r="AK12" i="3"/>
  <c r="BI12" i="3" s="1"/>
  <c r="CE12" i="3" s="1"/>
  <c r="AM12" i="3"/>
  <c r="BK12" i="3" s="1"/>
  <c r="CG12" i="3" s="1"/>
  <c r="CW12" i="3" s="1"/>
  <c r="H13" i="3"/>
  <c r="AL13" i="3" s="1"/>
  <c r="BJ13" i="3" s="1"/>
  <c r="CE13" i="3" s="1"/>
  <c r="G13" i="3"/>
  <c r="AK13" i="3" s="1"/>
  <c r="BI13" i="3" s="1"/>
  <c r="CD13" i="3" s="1"/>
  <c r="I13" i="3"/>
  <c r="J13" i="3"/>
  <c r="K13" i="3"/>
  <c r="L13" i="3"/>
  <c r="M13" i="3"/>
  <c r="N13" i="3"/>
  <c r="O13" i="3"/>
  <c r="AM13" i="3" s="1"/>
  <c r="BK13" i="3" s="1"/>
  <c r="CF13" i="3" s="1"/>
  <c r="P13" i="3"/>
  <c r="Q13" i="3"/>
  <c r="R13" i="3"/>
  <c r="S13" i="3"/>
  <c r="T13" i="3"/>
  <c r="U13" i="3"/>
  <c r="V13" i="3"/>
  <c r="W13" i="3"/>
  <c r="AU13" i="3" s="1"/>
  <c r="X13" i="3"/>
  <c r="Y13" i="3"/>
  <c r="Z13" i="3"/>
  <c r="AA13" i="3"/>
  <c r="AB13" i="3"/>
  <c r="AC13" i="3"/>
  <c r="DE13" i="3"/>
  <c r="AJ13" i="3"/>
  <c r="BH13" i="3" s="1"/>
  <c r="CC13" i="3" s="1"/>
  <c r="B14" i="3"/>
  <c r="CO14" i="3"/>
  <c r="I14" i="3"/>
  <c r="AJ14" i="3" s="1"/>
  <c r="BH14" i="3" s="1"/>
  <c r="CC14" i="3" s="1"/>
  <c r="CS14" i="3" s="1"/>
  <c r="G14" i="3"/>
  <c r="H14" i="3"/>
  <c r="J14" i="3"/>
  <c r="AH14" i="3" s="1"/>
  <c r="BF14" i="3" s="1"/>
  <c r="CA14" i="3" s="1"/>
  <c r="CQ14" i="3" s="1"/>
  <c r="K14" i="3"/>
  <c r="L14" i="3"/>
  <c r="M14" i="3"/>
  <c r="N14" i="3"/>
  <c r="O14" i="3"/>
  <c r="P14" i="3"/>
  <c r="Q14" i="3"/>
  <c r="R14" i="3"/>
  <c r="S14" i="3"/>
  <c r="T14" i="3"/>
  <c r="U14" i="3"/>
  <c r="V14" i="3"/>
  <c r="AT14" i="3" s="1"/>
  <c r="BR14" i="3" s="1"/>
  <c r="CG14" i="3" s="1"/>
  <c r="CW14" i="3" s="1"/>
  <c r="W14" i="3"/>
  <c r="X14" i="3"/>
  <c r="Y14" i="3"/>
  <c r="Z14" i="3"/>
  <c r="AX14" i="3" s="1"/>
  <c r="AA14" i="3"/>
  <c r="AB14" i="3"/>
  <c r="AC14" i="3"/>
  <c r="AG14" i="3"/>
  <c r="BE14" i="3" s="1"/>
  <c r="BZ14" i="3" s="1"/>
  <c r="CP14" i="3" s="1"/>
  <c r="DF14" i="3"/>
  <c r="DE14" i="3"/>
  <c r="DG14" i="3"/>
  <c r="AI14" i="3"/>
  <c r="BG14" i="3" s="1"/>
  <c r="CB14" i="3" s="1"/>
  <c r="CR14" i="3" s="1"/>
  <c r="AR14" i="3"/>
  <c r="BP14" i="3" s="1"/>
  <c r="CF14" i="3" s="1"/>
  <c r="CV14" i="3" s="1"/>
  <c r="CZ14" i="3"/>
  <c r="B15" i="3"/>
  <c r="CO15" i="3" s="1"/>
  <c r="P15" i="3"/>
  <c r="G15" i="3"/>
  <c r="H15" i="3"/>
  <c r="AN15" i="3" s="1"/>
  <c r="BL15" i="3" s="1"/>
  <c r="BZ15" i="3" s="1"/>
  <c r="I15" i="3"/>
  <c r="J15" i="3"/>
  <c r="K15" i="3"/>
  <c r="L15" i="3"/>
  <c r="AJ15" i="3" s="1"/>
  <c r="M15" i="3"/>
  <c r="N15" i="3"/>
  <c r="O15" i="3"/>
  <c r="Q15" i="3"/>
  <c r="AO15" i="3" s="1"/>
  <c r="BM15" i="3" s="1"/>
  <c r="CA15" i="3" s="1"/>
  <c r="R15" i="3"/>
  <c r="S15" i="3"/>
  <c r="T15" i="3"/>
  <c r="U15" i="3"/>
  <c r="AS15" i="3" s="1"/>
  <c r="BQ15" i="3" s="1"/>
  <c r="CE15" i="3" s="1"/>
  <c r="V15" i="3"/>
  <c r="W15" i="3"/>
  <c r="X15" i="3"/>
  <c r="Y15" i="3"/>
  <c r="AW15" i="3" s="1"/>
  <c r="Z15" i="3"/>
  <c r="AX15" i="3" s="1"/>
  <c r="BV15" i="3" s="1"/>
  <c r="CH15" i="3" s="1"/>
  <c r="AA15" i="3"/>
  <c r="AB15" i="3"/>
  <c r="AC15" i="3"/>
  <c r="DE15" i="3"/>
  <c r="AQ15" i="3"/>
  <c r="BO15" i="3" s="1"/>
  <c r="CC15" i="3" s="1"/>
  <c r="AV15" i="3"/>
  <c r="BT15" i="3" s="1"/>
  <c r="CG15" i="3" s="1"/>
  <c r="B16" i="3"/>
  <c r="CO16" i="3" s="1"/>
  <c r="H16" i="3"/>
  <c r="AF16" i="3" s="1"/>
  <c r="BD16" i="3" s="1"/>
  <c r="BZ16" i="3" s="1"/>
  <c r="G16" i="3"/>
  <c r="I16" i="3"/>
  <c r="AJ16" i="3" s="1"/>
  <c r="BH16" i="3" s="1"/>
  <c r="CD16" i="3" s="1"/>
  <c r="J16" i="3"/>
  <c r="K16" i="3"/>
  <c r="L16" i="3"/>
  <c r="M16" i="3"/>
  <c r="AK16" i="3" s="1"/>
  <c r="BI16" i="3" s="1"/>
  <c r="CE16" i="3" s="1"/>
  <c r="N16" i="3"/>
  <c r="O16" i="3"/>
  <c r="AM16" i="3" s="1"/>
  <c r="BK16" i="3" s="1"/>
  <c r="CG16" i="3" s="1"/>
  <c r="P16" i="3"/>
  <c r="Q16" i="3"/>
  <c r="AO16" i="3" s="1"/>
  <c r="BM16" i="3" s="1"/>
  <c r="CI16" i="3" s="1"/>
  <c r="R16" i="3"/>
  <c r="S16" i="3"/>
  <c r="T16" i="3"/>
  <c r="U16" i="3"/>
  <c r="V16" i="3"/>
  <c r="W16" i="3"/>
  <c r="X16" i="3"/>
  <c r="Y16" i="3"/>
  <c r="AW16" i="3" s="1"/>
  <c r="Z16" i="3"/>
  <c r="AA16" i="3"/>
  <c r="AB16" i="3"/>
  <c r="AC16" i="3"/>
  <c r="DF16" i="3"/>
  <c r="AG16" i="3"/>
  <c r="BE16" i="3" s="1"/>
  <c r="CA16" i="3" s="1"/>
  <c r="AV16" i="3"/>
  <c r="BO16" i="3" s="1"/>
  <c r="CK16" i="3" s="1"/>
  <c r="AR16" i="3"/>
  <c r="BP16" i="3" s="1"/>
  <c r="CL16" i="3" s="1"/>
  <c r="B17" i="3"/>
  <c r="CO17" i="3" s="1"/>
  <c r="H17" i="3"/>
  <c r="AF17" i="3" s="1"/>
  <c r="BD17" i="3" s="1"/>
  <c r="BZ17" i="3" s="1"/>
  <c r="G17" i="3"/>
  <c r="I17" i="3"/>
  <c r="AQ17" i="3" s="1"/>
  <c r="J17" i="3"/>
  <c r="K17" i="3"/>
  <c r="L17" i="3"/>
  <c r="M17" i="3"/>
  <c r="AK17" i="3" s="1"/>
  <c r="N17" i="3"/>
  <c r="O17" i="3"/>
  <c r="P17" i="3"/>
  <c r="Q17" i="3"/>
  <c r="R17" i="3"/>
  <c r="S17" i="3"/>
  <c r="T17" i="3"/>
  <c r="U17" i="3"/>
  <c r="AS17" i="3" s="1"/>
  <c r="BQ17" i="3" s="1"/>
  <c r="V17" i="3"/>
  <c r="W17" i="3"/>
  <c r="AU17" i="3" s="1"/>
  <c r="X17" i="3"/>
  <c r="Y17" i="3"/>
  <c r="AW17" i="3" s="1"/>
  <c r="Z17" i="3"/>
  <c r="AA17" i="3"/>
  <c r="AB17" i="3"/>
  <c r="AC17" i="3"/>
  <c r="DF17" i="3"/>
  <c r="AG17" i="3"/>
  <c r="BE17" i="3" s="1"/>
  <c r="CA17" i="3" s="1"/>
  <c r="AH17" i="3"/>
  <c r="BF17" i="3" s="1"/>
  <c r="CB17" i="3" s="1"/>
  <c r="AI17" i="3"/>
  <c r="BG17" i="3" s="1"/>
  <c r="CC17" i="3" s="1"/>
  <c r="AJ17" i="3"/>
  <c r="BH17" i="3" s="1"/>
  <c r="CD17" i="3" s="1"/>
  <c r="AL17" i="3"/>
  <c r="BJ17" i="3" s="1"/>
  <c r="CE17" i="3" s="1"/>
  <c r="B18" i="3"/>
  <c r="CO18" i="3" s="1"/>
  <c r="K18" i="3"/>
  <c r="AI18" i="3" s="1"/>
  <c r="BG18" i="3" s="1"/>
  <c r="BZ18" i="3" s="1"/>
  <c r="G18" i="3"/>
  <c r="H18" i="3"/>
  <c r="I18" i="3"/>
  <c r="J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AL18" i="3" s="1"/>
  <c r="BJ18" i="3" s="1"/>
  <c r="CB18" i="3" s="1"/>
  <c r="Z18" i="3"/>
  <c r="AA18" i="3"/>
  <c r="AB18" i="3"/>
  <c r="AC18" i="3"/>
  <c r="AP18" i="3" s="1"/>
  <c r="BN18" i="3" s="1"/>
  <c r="CD18" i="3" s="1"/>
  <c r="DF18" i="3"/>
  <c r="AK18" i="3"/>
  <c r="BI18" i="3" s="1"/>
  <c r="CA18" i="3" s="1"/>
  <c r="AM18" i="3"/>
  <c r="BK18" i="3" s="1"/>
  <c r="CC18" i="3" s="1"/>
  <c r="D5" i="7"/>
  <c r="F8" i="3"/>
  <c r="F12" i="3"/>
  <c r="F10" i="3"/>
  <c r="F9" i="3"/>
  <c r="F14" i="3"/>
  <c r="F7" i="3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BJ18" i="5"/>
  <c r="CF18" i="5"/>
  <c r="AG13" i="5"/>
  <c r="BE13" i="5"/>
  <c r="CB13" i="5" s="1"/>
  <c r="AH11" i="5"/>
  <c r="BF11" i="5" s="1"/>
  <c r="CB11" i="5" s="1"/>
  <c r="AK10" i="5"/>
  <c r="BI10" i="5"/>
  <c r="CF10" i="5" s="1"/>
  <c r="AK5" i="5"/>
  <c r="BI5" i="5" s="1"/>
  <c r="CE5" i="5" s="1"/>
  <c r="AI4" i="5"/>
  <c r="BG4" i="5"/>
  <c r="CD4" i="5" s="1"/>
  <c r="AZ3" i="5"/>
  <c r="BX3" i="5" s="1"/>
  <c r="CN3" i="5" s="1"/>
  <c r="AM3" i="5"/>
  <c r="BK3" i="5"/>
  <c r="CE3" i="5" s="1"/>
  <c r="AX2" i="5"/>
  <c r="BV2" i="5" s="1"/>
  <c r="CN2" i="5"/>
  <c r="BA18" i="5"/>
  <c r="BY18" i="5"/>
  <c r="AZ18" i="5"/>
  <c r="BX18" i="5"/>
  <c r="AY18" i="5"/>
  <c r="BW18" i="5"/>
  <c r="AX18" i="5"/>
  <c r="BV18" i="5"/>
  <c r="AW18" i="5"/>
  <c r="BU18" i="5"/>
  <c r="AV18" i="5"/>
  <c r="BT18" i="5"/>
  <c r="AU18" i="5"/>
  <c r="BS18" i="5"/>
  <c r="AT18" i="5"/>
  <c r="BR18" i="5"/>
  <c r="AS18" i="5"/>
  <c r="BQ18" i="5"/>
  <c r="AR18" i="5"/>
  <c r="BP18" i="5"/>
  <c r="AQ18" i="5"/>
  <c r="BO18" i="5"/>
  <c r="AE18" i="5"/>
  <c r="BC18" i="5"/>
  <c r="BA17" i="5"/>
  <c r="BY17" i="5"/>
  <c r="AZ17" i="5"/>
  <c r="BX17" i="5"/>
  <c r="AY17" i="5"/>
  <c r="BW17" i="5"/>
  <c r="AX17" i="5"/>
  <c r="BV17" i="5"/>
  <c r="AW17" i="5"/>
  <c r="BU17" i="5"/>
  <c r="AV17" i="5"/>
  <c r="BT17" i="5"/>
  <c r="AT17" i="5"/>
  <c r="BR17" i="5"/>
  <c r="AS17" i="5"/>
  <c r="BQ17" i="5"/>
  <c r="AQ17" i="5"/>
  <c r="BO17" i="5"/>
  <c r="AO17" i="5"/>
  <c r="BM17" i="5"/>
  <c r="AH17" i="5"/>
  <c r="BF17" i="5"/>
  <c r="AF17" i="5"/>
  <c r="BD17" i="5"/>
  <c r="BA16" i="5"/>
  <c r="BY16" i="5"/>
  <c r="AZ16" i="5"/>
  <c r="BX16" i="5"/>
  <c r="AY16" i="5"/>
  <c r="BW16" i="5"/>
  <c r="AX16" i="5"/>
  <c r="BV16" i="5"/>
  <c r="AW16" i="5"/>
  <c r="BU16" i="5"/>
  <c r="AV16" i="5"/>
  <c r="BT16" i="5"/>
  <c r="AU16" i="5"/>
  <c r="BS16" i="5"/>
  <c r="AT16" i="5"/>
  <c r="BR16" i="5"/>
  <c r="AS16" i="5"/>
  <c r="BQ16" i="5"/>
  <c r="BA15" i="5"/>
  <c r="BY15" i="5"/>
  <c r="AZ15" i="5"/>
  <c r="BX15" i="5"/>
  <c r="AY15" i="5"/>
  <c r="BW15" i="5"/>
  <c r="AX15" i="5"/>
  <c r="BV15" i="5"/>
  <c r="AW15" i="5"/>
  <c r="BU15" i="5"/>
  <c r="AV15" i="5"/>
  <c r="BT15" i="5"/>
  <c r="AU15" i="5"/>
  <c r="BS15" i="5"/>
  <c r="AT15" i="5"/>
  <c r="BR15" i="5"/>
  <c r="AR15" i="5"/>
  <c r="BP15" i="5"/>
  <c r="AQ15" i="5"/>
  <c r="BO15" i="5"/>
  <c r="AP15" i="5"/>
  <c r="BN15" i="5"/>
  <c r="AO15" i="5"/>
  <c r="BM15" i="5"/>
  <c r="AN15" i="5"/>
  <c r="BL15" i="5"/>
  <c r="BA14" i="5"/>
  <c r="BY14" i="5"/>
  <c r="AZ14" i="5"/>
  <c r="BX14" i="5"/>
  <c r="AY14" i="5"/>
  <c r="BW14" i="5"/>
  <c r="AX14" i="5"/>
  <c r="BV14" i="5"/>
  <c r="AW14" i="5"/>
  <c r="BU14" i="5"/>
  <c r="AV14" i="5"/>
  <c r="BT14" i="5"/>
  <c r="AU14" i="5"/>
  <c r="BS14" i="5"/>
  <c r="AS14" i="5"/>
  <c r="BQ14" i="5"/>
  <c r="AI14" i="5"/>
  <c r="BG14" i="5"/>
  <c r="AE14" i="5"/>
  <c r="BC14" i="5"/>
  <c r="BA13" i="5"/>
  <c r="BY13" i="5"/>
  <c r="AZ13" i="5"/>
  <c r="BX13" i="5"/>
  <c r="AY13" i="5"/>
  <c r="BW13" i="5"/>
  <c r="AX13" i="5"/>
  <c r="BV13" i="5"/>
  <c r="AW13" i="5"/>
  <c r="BU13" i="5"/>
  <c r="AV13" i="5"/>
  <c r="BT13" i="5"/>
  <c r="AU13" i="5"/>
  <c r="BS13" i="5"/>
  <c r="AT13" i="5"/>
  <c r="BR13" i="5"/>
  <c r="AS13" i="5"/>
  <c r="BQ13" i="5"/>
  <c r="BA12" i="5"/>
  <c r="BY12" i="5"/>
  <c r="AZ12" i="5"/>
  <c r="BX12" i="5"/>
  <c r="AX12" i="5"/>
  <c r="BV12" i="5"/>
  <c r="AW12" i="5"/>
  <c r="BU12" i="5"/>
  <c r="AP12" i="5"/>
  <c r="BN12" i="5"/>
  <c r="AI12" i="5"/>
  <c r="BG12" i="5"/>
  <c r="AH12" i="5"/>
  <c r="BF12" i="5"/>
  <c r="AG12" i="5"/>
  <c r="BE12" i="5"/>
  <c r="AE12" i="5"/>
  <c r="BC12" i="5"/>
  <c r="BA11" i="5"/>
  <c r="BY11" i="5"/>
  <c r="AZ11" i="5"/>
  <c r="BX11" i="5"/>
  <c r="AY11" i="5"/>
  <c r="BW11" i="5"/>
  <c r="AX11" i="5"/>
  <c r="BV11" i="5"/>
  <c r="AW11" i="5"/>
  <c r="BU11" i="5"/>
  <c r="AV11" i="5"/>
  <c r="BT11" i="5"/>
  <c r="AU11" i="5"/>
  <c r="BS11" i="5"/>
  <c r="AR11" i="5"/>
  <c r="BP11" i="5"/>
  <c r="AK11" i="5"/>
  <c r="BI11" i="5"/>
  <c r="AF11" i="5"/>
  <c r="BD11" i="5"/>
  <c r="BA10" i="5"/>
  <c r="BY10" i="5"/>
  <c r="AZ10" i="5"/>
  <c r="BX10" i="5"/>
  <c r="AY10" i="5"/>
  <c r="BW10" i="5"/>
  <c r="AX10" i="5"/>
  <c r="BV10" i="5"/>
  <c r="AW10" i="5"/>
  <c r="BU10" i="5"/>
  <c r="AV10" i="5"/>
  <c r="BT10" i="5"/>
  <c r="AU10" i="5"/>
  <c r="BS10" i="5"/>
  <c r="AO10" i="5"/>
  <c r="BM10" i="5"/>
  <c r="AN10" i="5"/>
  <c r="BL10" i="5"/>
  <c r="BA9" i="5"/>
  <c r="BY9" i="5"/>
  <c r="AZ9" i="5"/>
  <c r="BX9" i="5"/>
  <c r="AY9" i="5"/>
  <c r="BW9" i="5"/>
  <c r="AX9" i="5"/>
  <c r="BV9" i="5"/>
  <c r="AW9" i="5"/>
  <c r="BU9" i="5"/>
  <c r="AV9" i="5"/>
  <c r="BT9" i="5"/>
  <c r="AU9" i="5"/>
  <c r="BS9" i="5"/>
  <c r="AT9" i="5"/>
  <c r="BR9" i="5"/>
  <c r="AE9" i="5"/>
  <c r="BC9" i="5"/>
  <c r="BA8" i="5"/>
  <c r="BY8" i="5"/>
  <c r="AZ8" i="5"/>
  <c r="BX8" i="5"/>
  <c r="AY8" i="5"/>
  <c r="BW8" i="5"/>
  <c r="AX8" i="5"/>
  <c r="BV8" i="5"/>
  <c r="AW8" i="5"/>
  <c r="BU8" i="5"/>
  <c r="AV8" i="5"/>
  <c r="BT8" i="5"/>
  <c r="AU8" i="5"/>
  <c r="BS8" i="5"/>
  <c r="AT8" i="5"/>
  <c r="BR8" i="5"/>
  <c r="AS8" i="5"/>
  <c r="BQ8" i="5"/>
  <c r="AR8" i="5"/>
  <c r="BP8" i="5"/>
  <c r="AG8" i="5"/>
  <c r="BE8" i="5"/>
  <c r="BA7" i="5"/>
  <c r="BY7" i="5"/>
  <c r="AZ7" i="5"/>
  <c r="BX7" i="5"/>
  <c r="AY7" i="5"/>
  <c r="BW7" i="5"/>
  <c r="AX7" i="5"/>
  <c r="BV7" i="5"/>
  <c r="AW7" i="5"/>
  <c r="BU7" i="5"/>
  <c r="AV7" i="5"/>
  <c r="BT7" i="5"/>
  <c r="AU7" i="5"/>
  <c r="BS7" i="5"/>
  <c r="AT7" i="5"/>
  <c r="BR7" i="5"/>
  <c r="AS7" i="5"/>
  <c r="BQ7" i="5"/>
  <c r="AR7" i="5"/>
  <c r="BP7" i="5"/>
  <c r="AQ7" i="5"/>
  <c r="BO7" i="5"/>
  <c r="AP7" i="5"/>
  <c r="BN7" i="5"/>
  <c r="AO7" i="5"/>
  <c r="BM7" i="5"/>
  <c r="AN7" i="5"/>
  <c r="BL7" i="5"/>
  <c r="BA5" i="5"/>
  <c r="BY5" i="5"/>
  <c r="AZ5" i="5"/>
  <c r="BX5" i="5"/>
  <c r="AY5" i="5"/>
  <c r="BW5" i="5"/>
  <c r="AX5" i="5"/>
  <c r="BV5" i="5"/>
  <c r="AW5" i="5"/>
  <c r="BU5" i="5"/>
  <c r="AV5" i="5"/>
  <c r="BT5" i="5"/>
  <c r="AU5" i="5"/>
  <c r="BS5" i="5"/>
  <c r="AS5" i="5"/>
  <c r="BQ5" i="5"/>
  <c r="AH5" i="5"/>
  <c r="BF5" i="5"/>
  <c r="BA4" i="5"/>
  <c r="BY4" i="5"/>
  <c r="AZ4" i="5"/>
  <c r="BX4" i="5"/>
  <c r="AY4" i="5"/>
  <c r="BW4" i="5"/>
  <c r="AX4" i="5"/>
  <c r="BV4" i="5"/>
  <c r="AW4" i="5"/>
  <c r="BU4" i="5"/>
  <c r="AV4" i="5"/>
  <c r="BT4" i="5"/>
  <c r="AU4" i="5"/>
  <c r="BS4" i="5"/>
  <c r="AT4" i="5"/>
  <c r="BR4" i="5"/>
  <c r="AS4" i="5"/>
  <c r="BQ4" i="5"/>
  <c r="BA3" i="5"/>
  <c r="BY3" i="5"/>
  <c r="AY3" i="5"/>
  <c r="BW3" i="5"/>
  <c r="AX3" i="5"/>
  <c r="BV3" i="5"/>
  <c r="AW3" i="5"/>
  <c r="BU3" i="5"/>
  <c r="AU3" i="5"/>
  <c r="BS3" i="5"/>
  <c r="AH3" i="5"/>
  <c r="BF3" i="5"/>
  <c r="AF3" i="5"/>
  <c r="BD3" i="5"/>
  <c r="AE3" i="5"/>
  <c r="BC3" i="5"/>
  <c r="BA2" i="5"/>
  <c r="BY2" i="5"/>
  <c r="AZ2" i="5"/>
  <c r="BX2" i="5"/>
  <c r="AY2" i="5"/>
  <c r="BW2" i="5"/>
  <c r="AS2" i="5"/>
  <c r="BQ2" i="5"/>
  <c r="AP2" i="5"/>
  <c r="BN2" i="5"/>
  <c r="AH2" i="5"/>
  <c r="BF2" i="5"/>
  <c r="AF2" i="5"/>
  <c r="BD2" i="5"/>
  <c r="AE2" i="5"/>
  <c r="BC2" i="5"/>
  <c r="AG9" i="5"/>
  <c r="AH9" i="5"/>
  <c r="AP10" i="5"/>
  <c r="AG11" i="5"/>
  <c r="AO11" i="5"/>
  <c r="AQ11" i="5"/>
  <c r="AF12" i="5"/>
  <c r="AH14" i="5"/>
  <c r="AT14" i="5"/>
  <c r="AG16" i="5"/>
  <c r="AJ16" i="5"/>
  <c r="AK16" i="5"/>
  <c r="AM16" i="5"/>
  <c r="AG17" i="5"/>
  <c r="AI18" i="5"/>
  <c r="AK18" i="5"/>
  <c r="AL18" i="5"/>
  <c r="AM18" i="5"/>
  <c r="AN18" i="5"/>
  <c r="AG18" i="5"/>
  <c r="AF18" i="5"/>
  <c r="AO18" i="5"/>
  <c r="AU17" i="5"/>
  <c r="AR17" i="5"/>
  <c r="AE17" i="5"/>
  <c r="AP17" i="5"/>
  <c r="AN17" i="5"/>
  <c r="AE16" i="5"/>
  <c r="AQ16" i="5"/>
  <c r="AP16" i="5"/>
  <c r="AL16" i="5"/>
  <c r="AJ15" i="5"/>
  <c r="AI15" i="5"/>
  <c r="AH15" i="5"/>
  <c r="AF14" i="5"/>
  <c r="AR13" i="5"/>
  <c r="AP13" i="5"/>
  <c r="AQ13" i="5"/>
  <c r="AU12" i="5"/>
  <c r="AQ12" i="5"/>
  <c r="AO12" i="5"/>
  <c r="AN11" i="5"/>
  <c r="AR10" i="5"/>
  <c r="AF10" i="5"/>
  <c r="AF9" i="5"/>
  <c r="AS9" i="5"/>
  <c r="AQ5" i="5"/>
  <c r="AH4" i="5"/>
  <c r="B13" i="1"/>
  <c r="T13" i="1"/>
  <c r="BP13" i="1" s="1"/>
  <c r="CJ13" i="1" s="1"/>
  <c r="DF13" i="1"/>
  <c r="DE13" i="1"/>
  <c r="DG13" i="1" s="1"/>
  <c r="B15" i="1"/>
  <c r="H15" i="1"/>
  <c r="DF15" i="1"/>
  <c r="DE15" i="1"/>
  <c r="DG15" i="1" s="1"/>
  <c r="J13" i="1"/>
  <c r="BF13" i="1"/>
  <c r="CL13" i="1" s="1"/>
  <c r="K13" i="1"/>
  <c r="BG13" i="1"/>
  <c r="CK13" i="1" s="1"/>
  <c r="DA13" i="1" s="1"/>
  <c r="B10" i="1"/>
  <c r="H10" i="1"/>
  <c r="DF10" i="1"/>
  <c r="DE10" i="1"/>
  <c r="DG10" i="1" s="1"/>
  <c r="B9" i="1"/>
  <c r="S9" i="1"/>
  <c r="DF9" i="1"/>
  <c r="DE9" i="1"/>
  <c r="DG9" i="1" s="1"/>
  <c r="G9" i="1"/>
  <c r="BC9" i="1"/>
  <c r="CJ9" i="1" s="1"/>
  <c r="B8" i="1"/>
  <c r="J8" i="1"/>
  <c r="DF8" i="1"/>
  <c r="DE8" i="1"/>
  <c r="DG8" i="1" s="1"/>
  <c r="H8" i="1"/>
  <c r="BD8" i="1"/>
  <c r="CJ8" i="1" s="1"/>
  <c r="CZ8" i="1" s="1"/>
  <c r="B7" i="1"/>
  <c r="V7" i="1"/>
  <c r="DF7" i="1"/>
  <c r="DE7" i="1"/>
  <c r="DG7" i="1" s="1"/>
  <c r="B4" i="1"/>
  <c r="T4" i="1"/>
  <c r="BP4" i="1" s="1"/>
  <c r="CL4" i="1" s="1"/>
  <c r="DF4" i="1"/>
  <c r="DE4" i="1"/>
  <c r="DG4" i="1" s="1"/>
  <c r="H4" i="1"/>
  <c r="BD4" i="1"/>
  <c r="CK4" i="1" s="1"/>
  <c r="B3" i="1"/>
  <c r="T3" i="1"/>
  <c r="G3" i="1"/>
  <c r="H3" i="1"/>
  <c r="I3" i="1"/>
  <c r="J3" i="1"/>
  <c r="K3" i="1"/>
  <c r="L3" i="1"/>
  <c r="M3" i="1"/>
  <c r="N3" i="1"/>
  <c r="O3" i="1"/>
  <c r="P3" i="1"/>
  <c r="Q3" i="1"/>
  <c r="R3" i="1"/>
  <c r="S3" i="1"/>
  <c r="U3" i="1"/>
  <c r="V3" i="1"/>
  <c r="W3" i="1"/>
  <c r="X3" i="1"/>
  <c r="Y3" i="1"/>
  <c r="Z3" i="1"/>
  <c r="AA3" i="1"/>
  <c r="AB3" i="1"/>
  <c r="AC3" i="1"/>
  <c r="DF3" i="1"/>
  <c r="DE3" i="1"/>
  <c r="DG3" i="1"/>
  <c r="BO3" i="1"/>
  <c r="CL3" i="1" s="1"/>
  <c r="DB3" i="1"/>
  <c r="L15" i="1"/>
  <c r="BH15" i="1"/>
  <c r="CI15" i="1" s="1"/>
  <c r="P15" i="1"/>
  <c r="BL15" i="1" s="1"/>
  <c r="CH15" i="1" s="1"/>
  <c r="CX15" i="1" s="1"/>
  <c r="R15" i="1"/>
  <c r="BN15" i="1"/>
  <c r="CG15" i="1" s="1"/>
  <c r="T15" i="1"/>
  <c r="BP15" i="1" s="1"/>
  <c r="CF15" i="1"/>
  <c r="CV15" i="1" s="1"/>
  <c r="B12" i="1"/>
  <c r="CO12" i="1" s="1"/>
  <c r="S12" i="1"/>
  <c r="BO12" i="1" s="1"/>
  <c r="CI12" i="1" s="1"/>
  <c r="CY12" i="1" s="1"/>
  <c r="B11" i="1"/>
  <c r="G11" i="1" s="1"/>
  <c r="U11" i="1"/>
  <c r="BQ11" i="1" s="1"/>
  <c r="CI11" i="1"/>
  <c r="T11" i="1"/>
  <c r="BP11" i="1"/>
  <c r="CH11" i="1" s="1"/>
  <c r="O11" i="1"/>
  <c r="BK11" i="1" s="1"/>
  <c r="CG11" i="1" s="1"/>
  <c r="O10" i="1"/>
  <c r="BK10" i="1" s="1"/>
  <c r="CI10" i="1"/>
  <c r="CY10" i="1" s="1"/>
  <c r="AJ3" i="1"/>
  <c r="BH3" i="1" s="1"/>
  <c r="CE3" i="1" s="1"/>
  <c r="CU3" i="1" s="1"/>
  <c r="BD3" i="1"/>
  <c r="CA3" i="1" s="1"/>
  <c r="BC3" i="1"/>
  <c r="BZ3" i="1" s="1"/>
  <c r="CP3" i="1" s="1"/>
  <c r="T9" i="1"/>
  <c r="BP9" i="1" s="1"/>
  <c r="B21" i="3"/>
  <c r="DW21" i="3"/>
  <c r="Y1" i="4" a="1"/>
  <c r="B2" i="1"/>
  <c r="G2" i="1" s="1"/>
  <c r="B5" i="1"/>
  <c r="CO5" i="1" s="1"/>
  <c r="B14" i="1"/>
  <c r="B16" i="1"/>
  <c r="M16" i="1" s="1"/>
  <c r="B17" i="1"/>
  <c r="B18" i="1"/>
  <c r="G18" i="1" s="1"/>
  <c r="CH18" i="3"/>
  <c r="CG18" i="3"/>
  <c r="CF18" i="3"/>
  <c r="CE18" i="3"/>
  <c r="CH17" i="3"/>
  <c r="CG17" i="3"/>
  <c r="CF17" i="3"/>
  <c r="CJ16" i="3"/>
  <c r="CF16" i="3"/>
  <c r="CC16" i="3"/>
  <c r="CB16" i="3"/>
  <c r="CL15" i="3"/>
  <c r="CJ15" i="3"/>
  <c r="CI15" i="3"/>
  <c r="CN14" i="3"/>
  <c r="DD14" i="3" s="1"/>
  <c r="CM14" i="3"/>
  <c r="CL14" i="3"/>
  <c r="DB14" i="3" s="1"/>
  <c r="CK14" i="3"/>
  <c r="DA14" i="3" s="1"/>
  <c r="CJ14" i="3"/>
  <c r="CJ13" i="3"/>
  <c r="CI13" i="3"/>
  <c r="CH13" i="3"/>
  <c r="CG13" i="3"/>
  <c r="CJ12" i="3"/>
  <c r="CI12" i="3"/>
  <c r="CH12" i="3"/>
  <c r="CX12" i="3" s="1"/>
  <c r="CM11" i="3"/>
  <c r="CL11" i="3"/>
  <c r="CK11" i="3"/>
  <c r="CI10" i="3"/>
  <c r="CN9" i="3"/>
  <c r="CM9" i="3"/>
  <c r="CK8" i="3"/>
  <c r="CJ8" i="3"/>
  <c r="CI8" i="3"/>
  <c r="CH8" i="3"/>
  <c r="CN7" i="3"/>
  <c r="CM7" i="3"/>
  <c r="CL7" i="3"/>
  <c r="CN4" i="3"/>
  <c r="CM3" i="3"/>
  <c r="CM2" i="3"/>
  <c r="B21" i="1"/>
  <c r="CO2" i="1"/>
  <c r="I2" i="1"/>
  <c r="H2" i="1"/>
  <c r="J2" i="1"/>
  <c r="K2" i="1"/>
  <c r="M2" i="1"/>
  <c r="N2" i="1"/>
  <c r="O2" i="1"/>
  <c r="Q2" i="1"/>
  <c r="R2" i="1"/>
  <c r="S2" i="1"/>
  <c r="U2" i="1"/>
  <c r="V2" i="1"/>
  <c r="W2" i="1"/>
  <c r="Y2" i="1"/>
  <c r="Z2" i="1"/>
  <c r="AA2" i="1"/>
  <c r="AC2" i="1"/>
  <c r="DF2" i="1"/>
  <c r="DG2" i="1" s="1"/>
  <c r="DE2" i="1"/>
  <c r="DW21" i="1"/>
  <c r="F7" i="1"/>
  <c r="F13" i="1"/>
  <c r="CO3" i="1"/>
  <c r="CO4" i="1"/>
  <c r="CO7" i="1"/>
  <c r="I4" i="1"/>
  <c r="G4" i="1"/>
  <c r="J4" i="1"/>
  <c r="K4" i="1"/>
  <c r="L4" i="1"/>
  <c r="M4" i="1"/>
  <c r="N4" i="1"/>
  <c r="O4" i="1"/>
  <c r="P4" i="1"/>
  <c r="Q4" i="1"/>
  <c r="R4" i="1"/>
  <c r="S4" i="1"/>
  <c r="U4" i="1"/>
  <c r="V4" i="1"/>
  <c r="W4" i="1"/>
  <c r="X4" i="1"/>
  <c r="Y4" i="1"/>
  <c r="AW4" i="1" s="1"/>
  <c r="BU4" i="1" s="1"/>
  <c r="Z4" i="1"/>
  <c r="AA4" i="1"/>
  <c r="AB4" i="1"/>
  <c r="AC4" i="1"/>
  <c r="BA4" i="1" s="1"/>
  <c r="P5" i="1"/>
  <c r="G5" i="1"/>
  <c r="I5" i="1"/>
  <c r="J5" i="1"/>
  <c r="K5" i="1"/>
  <c r="M5" i="1"/>
  <c r="N5" i="1"/>
  <c r="O5" i="1"/>
  <c r="R5" i="1"/>
  <c r="S5" i="1"/>
  <c r="T5" i="1"/>
  <c r="V5" i="1"/>
  <c r="W5" i="1"/>
  <c r="X5" i="1"/>
  <c r="Z5" i="1"/>
  <c r="AA5" i="1"/>
  <c r="AB5" i="1"/>
  <c r="DE5" i="1"/>
  <c r="I7" i="1"/>
  <c r="G7" i="1"/>
  <c r="AY7" i="1" s="1"/>
  <c r="H7" i="1"/>
  <c r="J7" i="1"/>
  <c r="K7" i="1"/>
  <c r="L7" i="1"/>
  <c r="M7" i="1"/>
  <c r="N7" i="1"/>
  <c r="O7" i="1"/>
  <c r="P7" i="1"/>
  <c r="Q7" i="1"/>
  <c r="R7" i="1"/>
  <c r="S7" i="1"/>
  <c r="T7" i="1"/>
  <c r="U7" i="1"/>
  <c r="W7" i="1"/>
  <c r="X7" i="1"/>
  <c r="Y7" i="1"/>
  <c r="Z7" i="1"/>
  <c r="AA7" i="1"/>
  <c r="AB7" i="1"/>
  <c r="AC7" i="1"/>
  <c r="CO8" i="1"/>
  <c r="I8" i="1"/>
  <c r="G8" i="1"/>
  <c r="AK8" i="1" s="1"/>
  <c r="BI8" i="1" s="1"/>
  <c r="CC8" i="1" s="1"/>
  <c r="CS8" i="1" s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Z8" i="1" s="1"/>
  <c r="AC8" i="1"/>
  <c r="AJ8" i="1"/>
  <c r="BH8" i="1" s="1"/>
  <c r="CB8" i="1" s="1"/>
  <c r="CR8" i="1" s="1"/>
  <c r="AN8" i="1"/>
  <c r="BL8" i="1" s="1"/>
  <c r="CF8" i="1" s="1"/>
  <c r="CV8" i="1" s="1"/>
  <c r="CO9" i="1"/>
  <c r="H9" i="1"/>
  <c r="I9" i="1"/>
  <c r="J9" i="1"/>
  <c r="K9" i="1"/>
  <c r="L9" i="1"/>
  <c r="M9" i="1"/>
  <c r="N9" i="1"/>
  <c r="O9" i="1"/>
  <c r="P9" i="1"/>
  <c r="Q9" i="1"/>
  <c r="R9" i="1"/>
  <c r="U9" i="1"/>
  <c r="V9" i="1"/>
  <c r="W9" i="1"/>
  <c r="X9" i="1"/>
  <c r="Y9" i="1"/>
  <c r="AW9" i="1" s="1"/>
  <c r="BU9" i="1" s="1"/>
  <c r="Z9" i="1"/>
  <c r="AA9" i="1"/>
  <c r="AB9" i="1"/>
  <c r="AC9" i="1"/>
  <c r="BA9" i="1" s="1"/>
  <c r="CO10" i="1"/>
  <c r="I10" i="1"/>
  <c r="AG10" i="1" s="1"/>
  <c r="BE10" i="1" s="1"/>
  <c r="BZ10" i="1" s="1"/>
  <c r="CP10" i="1" s="1"/>
  <c r="G10" i="1"/>
  <c r="J10" i="1"/>
  <c r="K10" i="1"/>
  <c r="L10" i="1"/>
  <c r="AJ10" i="1" s="1"/>
  <c r="BH10" i="1" s="1"/>
  <c r="CA10" i="1" s="1"/>
  <c r="CQ10" i="1" s="1"/>
  <c r="M10" i="1"/>
  <c r="N10" i="1"/>
  <c r="P10" i="1"/>
  <c r="Q10" i="1"/>
  <c r="AO10" i="1" s="1"/>
  <c r="BM10" i="1" s="1"/>
  <c r="CE10" i="1" s="1"/>
  <c r="CU10" i="1" s="1"/>
  <c r="R10" i="1"/>
  <c r="S10" i="1"/>
  <c r="AZ10" i="1" s="1"/>
  <c r="T10" i="1"/>
  <c r="U10" i="1"/>
  <c r="AS10" i="1" s="1"/>
  <c r="BQ10" i="1" s="1"/>
  <c r="CH10" i="1" s="1"/>
  <c r="CX10" i="1" s="1"/>
  <c r="V10" i="1"/>
  <c r="W10" i="1"/>
  <c r="X10" i="1"/>
  <c r="Y10" i="1"/>
  <c r="Z10" i="1"/>
  <c r="AA10" i="1"/>
  <c r="AB10" i="1"/>
  <c r="AC10" i="1"/>
  <c r="CO11" i="1"/>
  <c r="I11" i="1"/>
  <c r="H11" i="1"/>
  <c r="K11" i="1"/>
  <c r="L11" i="1"/>
  <c r="M11" i="1"/>
  <c r="P11" i="1"/>
  <c r="Q11" i="1"/>
  <c r="R11" i="1"/>
  <c r="V11" i="1"/>
  <c r="W11" i="1"/>
  <c r="X11" i="1"/>
  <c r="Z11" i="1"/>
  <c r="AA11" i="1"/>
  <c r="AB11" i="1"/>
  <c r="DE11" i="1"/>
  <c r="I12" i="1"/>
  <c r="G12" i="1"/>
  <c r="H12" i="1"/>
  <c r="K12" i="1"/>
  <c r="L12" i="1"/>
  <c r="M12" i="1"/>
  <c r="O12" i="1"/>
  <c r="P12" i="1"/>
  <c r="Q12" i="1"/>
  <c r="T12" i="1"/>
  <c r="U12" i="1"/>
  <c r="V12" i="1"/>
  <c r="X12" i="1"/>
  <c r="Y12" i="1"/>
  <c r="Z12" i="1"/>
  <c r="AB12" i="1"/>
  <c r="AC12" i="1"/>
  <c r="DF12" i="1"/>
  <c r="DG12" i="1" s="1"/>
  <c r="DE12" i="1"/>
  <c r="CO13" i="1"/>
  <c r="H13" i="1"/>
  <c r="G13" i="1"/>
  <c r="I13" i="1"/>
  <c r="AG13" i="1" s="1"/>
  <c r="L13" i="1"/>
  <c r="M13" i="1"/>
  <c r="N13" i="1"/>
  <c r="O13" i="1"/>
  <c r="AM13" i="1" s="1"/>
  <c r="P13" i="1"/>
  <c r="Q13" i="1"/>
  <c r="R13" i="1"/>
  <c r="S13" i="1"/>
  <c r="AQ13" i="1" s="1"/>
  <c r="U13" i="1"/>
  <c r="V13" i="1"/>
  <c r="W13" i="1"/>
  <c r="X13" i="1"/>
  <c r="Y13" i="1"/>
  <c r="Z13" i="1"/>
  <c r="AA13" i="1"/>
  <c r="AB13" i="1"/>
  <c r="AC13" i="1"/>
  <c r="BE13" i="1"/>
  <c r="CA13" i="1" s="1"/>
  <c r="CQ13" i="1" s="1"/>
  <c r="BK13" i="1"/>
  <c r="CE13" i="1" s="1"/>
  <c r="CU13" i="1" s="1"/>
  <c r="BO13" i="1"/>
  <c r="CI13" i="1" s="1"/>
  <c r="CY13" i="1" s="1"/>
  <c r="CO14" i="1"/>
  <c r="N14" i="1"/>
  <c r="G14" i="1"/>
  <c r="H14" i="1"/>
  <c r="I14" i="1"/>
  <c r="J14" i="1"/>
  <c r="K14" i="1"/>
  <c r="L14" i="1"/>
  <c r="M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E14" i="1" s="1"/>
  <c r="BC14" i="1" s="1"/>
  <c r="AB14" i="1"/>
  <c r="AC14" i="1"/>
  <c r="DF14" i="1"/>
  <c r="DG14" i="1" s="1"/>
  <c r="DE14" i="1"/>
  <c r="AM14" i="1"/>
  <c r="BK14" i="1" s="1"/>
  <c r="CA14" i="1" s="1"/>
  <c r="CQ14" i="1" s="1"/>
  <c r="AN14" i="1"/>
  <c r="BL14" i="1" s="1"/>
  <c r="CB14" i="1" s="1"/>
  <c r="AO14" i="1"/>
  <c r="BM14" i="1" s="1"/>
  <c r="CC14" i="1" s="1"/>
  <c r="CS14" i="1" s="1"/>
  <c r="AP14" i="1"/>
  <c r="BN14" i="1" s="1"/>
  <c r="CD14" i="1" s="1"/>
  <c r="CT14" i="1" s="1"/>
  <c r="CO15" i="1"/>
  <c r="G15" i="1"/>
  <c r="I15" i="1"/>
  <c r="J15" i="1"/>
  <c r="K15" i="1"/>
  <c r="M15" i="1"/>
  <c r="AK15" i="1" s="1"/>
  <c r="BI15" i="1" s="1"/>
  <c r="CB15" i="1" s="1"/>
  <c r="CR15" i="1" s="1"/>
  <c r="N15" i="1"/>
  <c r="O15" i="1"/>
  <c r="Q15" i="1"/>
  <c r="S15" i="1"/>
  <c r="U15" i="1"/>
  <c r="V15" i="1"/>
  <c r="AT15" i="1" s="1"/>
  <c r="BR15" i="1" s="1"/>
  <c r="W15" i="1"/>
  <c r="X15" i="1"/>
  <c r="AV15" i="1" s="1"/>
  <c r="BT15" i="1" s="1"/>
  <c r="Y15" i="1"/>
  <c r="Z15" i="1"/>
  <c r="AA15" i="1"/>
  <c r="AB15" i="1"/>
  <c r="AC15" i="1"/>
  <c r="AH15" i="1"/>
  <c r="BF15" i="1" s="1"/>
  <c r="CA15" i="1" s="1"/>
  <c r="CQ15" i="1" s="1"/>
  <c r="AL15" i="1"/>
  <c r="BJ15" i="1" s="1"/>
  <c r="CC15" i="1" s="1"/>
  <c r="CS15" i="1" s="1"/>
  <c r="AQ15" i="1"/>
  <c r="BO15" i="1" s="1"/>
  <c r="CE15" i="1" s="1"/>
  <c r="CU15" i="1" s="1"/>
  <c r="CO16" i="1"/>
  <c r="G16" i="1"/>
  <c r="H16" i="1"/>
  <c r="I16" i="1"/>
  <c r="K16" i="1"/>
  <c r="L16" i="1"/>
  <c r="N16" i="1"/>
  <c r="P16" i="1"/>
  <c r="Q16" i="1"/>
  <c r="R16" i="1"/>
  <c r="T16" i="1"/>
  <c r="U16" i="1"/>
  <c r="V16" i="1"/>
  <c r="X16" i="1"/>
  <c r="Y16" i="1"/>
  <c r="Z16" i="1"/>
  <c r="AB16" i="1"/>
  <c r="AC16" i="1"/>
  <c r="DF16" i="1"/>
  <c r="DG16" i="1" s="1"/>
  <c r="CW16" i="1" s="1"/>
  <c r="DE16" i="1"/>
  <c r="CV16" i="1"/>
  <c r="CO17" i="1"/>
  <c r="G17" i="1"/>
  <c r="H17" i="1"/>
  <c r="I17" i="1"/>
  <c r="L17" i="1"/>
  <c r="M17" i="1"/>
  <c r="N17" i="1"/>
  <c r="P17" i="1"/>
  <c r="Q17" i="1"/>
  <c r="R17" i="1"/>
  <c r="T17" i="1"/>
  <c r="U17" i="1"/>
  <c r="V17" i="1"/>
  <c r="X17" i="1"/>
  <c r="Y17" i="1"/>
  <c r="Z17" i="1"/>
  <c r="AB17" i="1"/>
  <c r="AC17" i="1"/>
  <c r="DF17" i="1"/>
  <c r="DE17" i="1"/>
  <c r="CO18" i="1"/>
  <c r="H18" i="1"/>
  <c r="I18" i="1"/>
  <c r="J18" i="1"/>
  <c r="K18" i="1"/>
  <c r="M18" i="1"/>
  <c r="N18" i="1"/>
  <c r="O18" i="1"/>
  <c r="Q18" i="1"/>
  <c r="R18" i="1"/>
  <c r="S18" i="1"/>
  <c r="U18" i="1"/>
  <c r="V18" i="1"/>
  <c r="W18" i="1"/>
  <c r="Y18" i="1"/>
  <c r="Z18" i="1"/>
  <c r="AA18" i="1"/>
  <c r="AC18" i="1"/>
  <c r="DF18" i="1"/>
  <c r="DE18" i="1"/>
  <c r="DG18" i="1" s="1"/>
  <c r="F18" i="1"/>
  <c r="F14" i="1"/>
  <c r="F12" i="1"/>
  <c r="F11" i="1"/>
  <c r="F15" i="1"/>
  <c r="F9" i="1"/>
  <c r="F10" i="1"/>
  <c r="F16" i="1"/>
  <c r="F8" i="1"/>
  <c r="B36" i="1"/>
  <c r="DM36" i="1"/>
  <c r="EC36" i="1" s="1"/>
  <c r="C20" i="2"/>
  <c r="Y1" i="2" a="1"/>
  <c r="Z1" i="2" s="1"/>
  <c r="AC1" i="2" a="1"/>
  <c r="AE1" i="2" s="1"/>
  <c r="AO4" i="2"/>
  <c r="D13" i="4"/>
  <c r="D15" i="4"/>
  <c r="D5" i="4"/>
  <c r="D7" i="4"/>
  <c r="D9" i="4"/>
  <c r="D11" i="4"/>
  <c r="D18" i="4"/>
  <c r="D19" i="4"/>
  <c r="B20" i="4"/>
  <c r="B19" i="4"/>
  <c r="B18" i="4"/>
  <c r="B17" i="4"/>
  <c r="B16" i="4"/>
  <c r="B15" i="4"/>
  <c r="B14" i="4"/>
  <c r="B11" i="4"/>
  <c r="B10" i="4"/>
  <c r="B9" i="4"/>
  <c r="B8" i="4"/>
  <c r="B7" i="4"/>
  <c r="B6" i="4"/>
  <c r="B5" i="4"/>
  <c r="D20" i="4"/>
  <c r="D17" i="4"/>
  <c r="D8" i="4"/>
  <c r="D10" i="4"/>
  <c r="D12" i="4"/>
  <c r="D16" i="4"/>
  <c r="D14" i="4"/>
  <c r="D6" i="4"/>
  <c r="AI13" i="3"/>
  <c r="BG13" i="3"/>
  <c r="CB13" i="3" s="1"/>
  <c r="AH11" i="3"/>
  <c r="BF11" i="3" s="1"/>
  <c r="CB11" i="3" s="1"/>
  <c r="AO10" i="3"/>
  <c r="BM10" i="3" s="1"/>
  <c r="CF10" i="3" s="1"/>
  <c r="AK5" i="3"/>
  <c r="BI5" i="3" s="1"/>
  <c r="CE5" i="3" s="1"/>
  <c r="AK3" i="3"/>
  <c r="BI3" i="3" s="1"/>
  <c r="CE3" i="3"/>
  <c r="AI3" i="3"/>
  <c r="AR2" i="3"/>
  <c r="AV2" i="3"/>
  <c r="BT2" i="3"/>
  <c r="AW2" i="3"/>
  <c r="BU2" i="3"/>
  <c r="AX2" i="3"/>
  <c r="BV2" i="3"/>
  <c r="AI4" i="3"/>
  <c r="AN5" i="3"/>
  <c r="BL5" i="3" s="1"/>
  <c r="AO5" i="3"/>
  <c r="BM5" i="3"/>
  <c r="AQ5" i="3"/>
  <c r="BO5" i="3" s="1"/>
  <c r="AR5" i="3"/>
  <c r="BP5" i="3" s="1"/>
  <c r="AS5" i="3"/>
  <c r="BQ5" i="3" s="1"/>
  <c r="AT5" i="3"/>
  <c r="BR5" i="3"/>
  <c r="AV5" i="3"/>
  <c r="BT5" i="3" s="1"/>
  <c r="AW5" i="3"/>
  <c r="BU5" i="3" s="1"/>
  <c r="AX5" i="3"/>
  <c r="BV5" i="3" s="1"/>
  <c r="AQ7" i="3"/>
  <c r="BO7" i="3"/>
  <c r="AR7" i="3"/>
  <c r="BP7" i="3" s="1"/>
  <c r="AU7" i="3"/>
  <c r="AN8" i="3"/>
  <c r="BL8" i="3"/>
  <c r="AP8" i="3"/>
  <c r="BN8" i="3"/>
  <c r="AQ8" i="3"/>
  <c r="BO8" i="3" s="1"/>
  <c r="AF9" i="3"/>
  <c r="BD9" i="3" s="1"/>
  <c r="AG10" i="3"/>
  <c r="BE10" i="3" s="1"/>
  <c r="AR10" i="3"/>
  <c r="BP10" i="3"/>
  <c r="AS10" i="3"/>
  <c r="BQ10" i="3" s="1"/>
  <c r="AN11" i="3"/>
  <c r="AN12" i="3"/>
  <c r="AP12" i="3"/>
  <c r="AN13" i="3"/>
  <c r="AO13" i="3"/>
  <c r="BM13" i="3" s="1"/>
  <c r="AQ13" i="3"/>
  <c r="AL14" i="3"/>
  <c r="BJ14" i="3" s="1"/>
  <c r="AM14" i="3"/>
  <c r="AO14" i="3"/>
  <c r="AP14" i="3"/>
  <c r="BN14" i="3" s="1"/>
  <c r="AE15" i="3"/>
  <c r="BC15" i="3" s="1"/>
  <c r="AH15" i="3"/>
  <c r="AL15" i="3"/>
  <c r="BJ15" i="3" s="1"/>
  <c r="AQ16" i="3"/>
  <c r="AT16" i="3"/>
  <c r="BR16" i="3" s="1"/>
  <c r="AF18" i="3"/>
  <c r="BD18" i="3"/>
  <c r="AX18" i="3"/>
  <c r="BV18" i="3" s="1"/>
  <c r="AW18" i="3"/>
  <c r="BU18" i="3" s="1"/>
  <c r="AV18" i="3"/>
  <c r="BT18" i="3" s="1"/>
  <c r="AU18" i="3"/>
  <c r="BS18" i="3"/>
  <c r="AT18" i="3"/>
  <c r="AR18" i="3"/>
  <c r="BP18" i="3" s="1"/>
  <c r="AQ18" i="3"/>
  <c r="BO18" i="3" s="1"/>
  <c r="AO18" i="3"/>
  <c r="AN18" i="3"/>
  <c r="BL18" i="3" s="1"/>
  <c r="AH18" i="3"/>
  <c r="BF18" i="3"/>
  <c r="AE18" i="3"/>
  <c r="BA18" i="3"/>
  <c r="AY18" i="3"/>
  <c r="AX17" i="3"/>
  <c r="BV17" i="3"/>
  <c r="BU17" i="3"/>
  <c r="AV17" i="3"/>
  <c r="BT17" i="3" s="1"/>
  <c r="BS17" i="3"/>
  <c r="AT17" i="3"/>
  <c r="BR17" i="3"/>
  <c r="AR17" i="3"/>
  <c r="BP17" i="3" s="1"/>
  <c r="BO17" i="3"/>
  <c r="AP17" i="3"/>
  <c r="AO17" i="3"/>
  <c r="BM17" i="3" s="1"/>
  <c r="AN17" i="3"/>
  <c r="AM17" i="3"/>
  <c r="BK17" i="3" s="1"/>
  <c r="AE17" i="3"/>
  <c r="BC17" i="3" s="1"/>
  <c r="BA17" i="3"/>
  <c r="AY17" i="3"/>
  <c r="AX16" i="3"/>
  <c r="BV16" i="3" s="1"/>
  <c r="BU16" i="3"/>
  <c r="BT16" i="3"/>
  <c r="AU16" i="3"/>
  <c r="BS16" i="3" s="1"/>
  <c r="AS16" i="3"/>
  <c r="BQ16" i="3"/>
  <c r="AP16" i="3"/>
  <c r="AI16" i="3"/>
  <c r="AH16" i="3"/>
  <c r="AE16" i="3"/>
  <c r="BC16" i="3" s="1"/>
  <c r="BA16" i="3"/>
  <c r="AZ16" i="3"/>
  <c r="AY16" i="3"/>
  <c r="BU15" i="3"/>
  <c r="AU15" i="3"/>
  <c r="BS15" i="3"/>
  <c r="BH15" i="3"/>
  <c r="AI15" i="3"/>
  <c r="BG15" i="3" s="1"/>
  <c r="AF15" i="3"/>
  <c r="BD15" i="3" s="1"/>
  <c r="BA15" i="3"/>
  <c r="AW14" i="3"/>
  <c r="AS14" i="3"/>
  <c r="AQ14" i="3"/>
  <c r="AE14" i="3"/>
  <c r="BC14" i="3" s="1"/>
  <c r="BA14" i="3"/>
  <c r="AY14" i="3"/>
  <c r="AX13" i="3"/>
  <c r="BV13" i="3" s="1"/>
  <c r="AV13" i="3"/>
  <c r="BT13" i="3"/>
  <c r="BS13" i="3"/>
  <c r="AT13" i="3"/>
  <c r="BR13" i="3" s="1"/>
  <c r="AR13" i="3"/>
  <c r="BP13" i="3"/>
  <c r="BA13" i="3"/>
  <c r="AZ13" i="3"/>
  <c r="AY13" i="3"/>
  <c r="AX12" i="3"/>
  <c r="BV12" i="3"/>
  <c r="AW12" i="3"/>
  <c r="BU12" i="3" s="1"/>
  <c r="AV12" i="3"/>
  <c r="BT12" i="3"/>
  <c r="AU12" i="3"/>
  <c r="BS12" i="3" s="1"/>
  <c r="AT12" i="3"/>
  <c r="BR12" i="3"/>
  <c r="AS12" i="3"/>
  <c r="BQ12" i="3" s="1"/>
  <c r="AR12" i="3"/>
  <c r="BP12" i="3"/>
  <c r="AQ12" i="3"/>
  <c r="BO12" i="3" s="1"/>
  <c r="AO12" i="3"/>
  <c r="AE12" i="3"/>
  <c r="BC12" i="3"/>
  <c r="BA12" i="3"/>
  <c r="AZ12" i="3"/>
  <c r="AY12" i="3"/>
  <c r="AX11" i="3"/>
  <c r="BV11" i="3" s="1"/>
  <c r="BU11" i="3"/>
  <c r="AV11" i="3"/>
  <c r="BT11" i="3"/>
  <c r="AT11" i="3"/>
  <c r="BR11" i="3" s="1"/>
  <c r="BQ11" i="3"/>
  <c r="AR11" i="3"/>
  <c r="AF11" i="3"/>
  <c r="AZ11" i="3"/>
  <c r="AY11" i="3"/>
  <c r="AX10" i="3"/>
  <c r="BV10" i="3" s="1"/>
  <c r="AW10" i="3"/>
  <c r="BU10" i="3" s="1"/>
  <c r="AV10" i="3"/>
  <c r="BT10" i="3" s="1"/>
  <c r="AU10" i="3"/>
  <c r="BS10" i="3"/>
  <c r="AT10" i="3"/>
  <c r="BR10" i="3" s="1"/>
  <c r="AM10" i="3"/>
  <c r="BK10" i="3" s="1"/>
  <c r="AF10" i="3"/>
  <c r="BA10" i="3"/>
  <c r="AZ10" i="3"/>
  <c r="AX9" i="3"/>
  <c r="AW9" i="3"/>
  <c r="AV9" i="3"/>
  <c r="AT9" i="3"/>
  <c r="AS9" i="3"/>
  <c r="AE9" i="3"/>
  <c r="BC9" i="3"/>
  <c r="BA9" i="3"/>
  <c r="AZ9" i="3"/>
  <c r="AY9" i="3"/>
  <c r="AX8" i="3"/>
  <c r="BV8" i="3" s="1"/>
  <c r="AW8" i="3"/>
  <c r="BU8" i="3"/>
  <c r="AV8" i="3"/>
  <c r="BT8" i="3" s="1"/>
  <c r="AU8" i="3"/>
  <c r="BS8" i="3" s="1"/>
  <c r="AT8" i="3"/>
  <c r="AR8" i="3"/>
  <c r="AE8" i="3"/>
  <c r="BC8" i="3" s="1"/>
  <c r="AZ8" i="3"/>
  <c r="AY8" i="3"/>
  <c r="AX7" i="3"/>
  <c r="BV7" i="3" s="1"/>
  <c r="AW7" i="3"/>
  <c r="BU7" i="3"/>
  <c r="AV7" i="3"/>
  <c r="BT7" i="3" s="1"/>
  <c r="AT7" i="3"/>
  <c r="AE7" i="3"/>
  <c r="BA7" i="3"/>
  <c r="AZ7" i="3"/>
  <c r="AY7" i="3"/>
  <c r="AU5" i="3"/>
  <c r="BS5" i="3"/>
  <c r="AI5" i="3"/>
  <c r="BG5" i="3" s="1"/>
  <c r="AZ5" i="3"/>
  <c r="AY5" i="3"/>
  <c r="AX4" i="3"/>
  <c r="BV4" i="3" s="1"/>
  <c r="AW4" i="3"/>
  <c r="BU4" i="3"/>
  <c r="AV4" i="3"/>
  <c r="BT4" i="3" s="1"/>
  <c r="AH4" i="3"/>
  <c r="AE4" i="3"/>
  <c r="BA4" i="3"/>
  <c r="AY4" i="3"/>
  <c r="AX3" i="3"/>
  <c r="BV3" i="3" s="1"/>
  <c r="AW3" i="3"/>
  <c r="BU3" i="3"/>
  <c r="AV3" i="3"/>
  <c r="BT3" i="3" s="1"/>
  <c r="AU3" i="3"/>
  <c r="BS3" i="3"/>
  <c r="AT3" i="3"/>
  <c r="BR3" i="3" s="1"/>
  <c r="AS3" i="3"/>
  <c r="BQ3" i="3"/>
  <c r="BA3" i="3"/>
  <c r="AZ3" i="3"/>
  <c r="AY3" i="3"/>
  <c r="BA2" i="3"/>
  <c r="BY2" i="3"/>
  <c r="AZ2" i="3"/>
  <c r="BX2" i="3" s="1"/>
  <c r="AY2" i="3"/>
  <c r="BW2" i="3" s="1"/>
  <c r="AU2" i="3"/>
  <c r="BS2" i="3" s="1"/>
  <c r="AF2" i="3"/>
  <c r="BD2" i="3"/>
  <c r="AE2" i="3"/>
  <c r="BC2" i="3" s="1"/>
  <c r="D5" i="2"/>
  <c r="D7" i="2"/>
  <c r="D10" i="2"/>
  <c r="D12" i="2"/>
  <c r="D13" i="2"/>
  <c r="D16" i="2"/>
  <c r="D18" i="2"/>
  <c r="D20" i="2"/>
  <c r="B20" i="2"/>
  <c r="B19" i="2"/>
  <c r="B18" i="2"/>
  <c r="B17" i="2"/>
  <c r="B16" i="2"/>
  <c r="B15" i="2"/>
  <c r="B14" i="2"/>
  <c r="B11" i="2"/>
  <c r="B10" i="2"/>
  <c r="B9" i="2"/>
  <c r="B8" i="2"/>
  <c r="B7" i="2"/>
  <c r="B6" i="2"/>
  <c r="B5" i="2"/>
  <c r="D8" i="2"/>
  <c r="D9" i="2"/>
  <c r="D14" i="2"/>
  <c r="D17" i="2"/>
  <c r="D19" i="2"/>
  <c r="D15" i="2"/>
  <c r="D11" i="2"/>
  <c r="D6" i="2"/>
  <c r="AX15" i="1"/>
  <c r="BV15" i="1" s="1"/>
  <c r="AW13" i="1"/>
  <c r="BU13" i="1" s="1"/>
  <c r="AV13" i="1"/>
  <c r="BT13" i="1" s="1"/>
  <c r="AW10" i="1"/>
  <c r="BU10" i="1" s="1"/>
  <c r="AW8" i="1"/>
  <c r="BU8" i="1" s="1"/>
  <c r="AW7" i="1"/>
  <c r="BU7" i="1" s="1"/>
  <c r="AX3" i="1"/>
  <c r="BV3" i="1" s="1"/>
  <c r="AW3" i="1"/>
  <c r="BU3" i="1" s="1"/>
  <c r="AE3" i="1"/>
  <c r="AQ3" i="1"/>
  <c r="AS3" i="1"/>
  <c r="BQ3" i="1" s="1"/>
  <c r="AU3" i="1"/>
  <c r="BS3" i="1"/>
  <c r="AE4" i="1"/>
  <c r="BC4" i="1" s="1"/>
  <c r="AH4" i="1"/>
  <c r="BF4" i="1" s="1"/>
  <c r="AO4" i="1"/>
  <c r="BM4" i="1" s="1"/>
  <c r="AR4" i="1"/>
  <c r="AU4" i="1"/>
  <c r="BS4" i="1" s="1"/>
  <c r="AX4" i="1"/>
  <c r="BV4" i="1"/>
  <c r="AE7" i="1"/>
  <c r="BC7" i="1"/>
  <c r="AH7" i="1"/>
  <c r="BF7" i="1" s="1"/>
  <c r="AM7" i="1"/>
  <c r="BK7" i="1"/>
  <c r="AV7" i="1"/>
  <c r="BT7" i="1"/>
  <c r="AX7" i="1"/>
  <c r="BV7" i="1" s="1"/>
  <c r="AE8" i="1"/>
  <c r="BC8" i="1" s="1"/>
  <c r="AF8" i="1"/>
  <c r="AR8" i="1"/>
  <c r="BP8" i="1"/>
  <c r="AT8" i="1"/>
  <c r="BR8" i="1" s="1"/>
  <c r="AU8" i="1"/>
  <c r="BS8" i="1" s="1"/>
  <c r="AX8" i="1"/>
  <c r="BV8" i="1" s="1"/>
  <c r="AE9" i="1"/>
  <c r="AR9" i="1"/>
  <c r="AS9" i="1"/>
  <c r="BQ9" i="1" s="1"/>
  <c r="AU9" i="1"/>
  <c r="BS9" i="1"/>
  <c r="AE10" i="1"/>
  <c r="BC10" i="1" s="1"/>
  <c r="AH10" i="1"/>
  <c r="BF10" i="1" s="1"/>
  <c r="AI10" i="1"/>
  <c r="BG10" i="1" s="1"/>
  <c r="AM10" i="1"/>
  <c r="AP10" i="1"/>
  <c r="BN10" i="1" s="1"/>
  <c r="AU10" i="1"/>
  <c r="BS10" i="1"/>
  <c r="AX10" i="1"/>
  <c r="BV10" i="1" s="1"/>
  <c r="AE13" i="1"/>
  <c r="BC13" i="1"/>
  <c r="AH13" i="1"/>
  <c r="AR13" i="1"/>
  <c r="AS13" i="1"/>
  <c r="BQ13" i="1"/>
  <c r="AU13" i="1"/>
  <c r="BS13" i="1" s="1"/>
  <c r="AG14" i="1"/>
  <c r="BE14" i="1" s="1"/>
  <c r="AI14" i="1"/>
  <c r="BG14" i="1"/>
  <c r="AK14" i="1"/>
  <c r="BI14" i="1" s="1"/>
  <c r="AT14" i="1"/>
  <c r="BR14" i="1" s="1"/>
  <c r="AV14" i="1"/>
  <c r="BT14" i="1"/>
  <c r="AX14" i="1"/>
  <c r="BV14" i="1" s="1"/>
  <c r="AG15" i="1"/>
  <c r="BE15" i="1" s="1"/>
  <c r="AI15" i="1"/>
  <c r="BG15" i="1" s="1"/>
  <c r="AN15" i="1"/>
  <c r="AP15" i="1"/>
  <c r="AS15" i="1"/>
  <c r="BQ15" i="1" s="1"/>
  <c r="AW15" i="1"/>
  <c r="BU15" i="1" s="1"/>
  <c r="AZ15" i="1"/>
  <c r="BA14" i="1"/>
  <c r="AZ14" i="1"/>
  <c r="AY14" i="1"/>
  <c r="AZ13" i="1"/>
  <c r="AY13" i="1"/>
  <c r="BA10" i="1"/>
  <c r="AY10" i="1"/>
  <c r="AZ9" i="1"/>
  <c r="AY9" i="1"/>
  <c r="AY8" i="1"/>
  <c r="BA7" i="1"/>
  <c r="AZ7" i="1"/>
  <c r="AZ4" i="1"/>
  <c r="BA3" i="1"/>
  <c r="AY3" i="1"/>
  <c r="Y1" i="7" a="1"/>
  <c r="Z1" i="7" s="1"/>
  <c r="AA1" i="7"/>
  <c r="AC1" i="7" a="1"/>
  <c r="AH1" i="7" s="1"/>
  <c r="AE1" i="7"/>
  <c r="AJ1" i="7"/>
  <c r="Y1" i="10" a="1"/>
  <c r="Y1" i="10"/>
  <c r="C1" i="11" s="1"/>
  <c r="Z1" i="10"/>
  <c r="AA1" i="10"/>
  <c r="AB1" i="10"/>
  <c r="AC1" i="10" a="1"/>
  <c r="AD1" i="10" s="1"/>
  <c r="AC1" i="10"/>
  <c r="AF1" i="10"/>
  <c r="AG1" i="10"/>
  <c r="AH1" i="10"/>
  <c r="AK1" i="10"/>
  <c r="AL1" i="10"/>
  <c r="AN1" i="10"/>
  <c r="D1" i="11"/>
  <c r="F1" i="11"/>
  <c r="G1" i="11"/>
  <c r="J1" i="11"/>
  <c r="K1" i="11"/>
  <c r="L1" i="11"/>
  <c r="O1" i="11"/>
  <c r="P1" i="11"/>
  <c r="R1" i="11"/>
  <c r="B12" i="4" l="1"/>
  <c r="B29" i="3"/>
  <c r="E13" i="9"/>
  <c r="E8" i="9"/>
  <c r="E7" i="5"/>
  <c r="E10" i="1"/>
  <c r="B12" i="2"/>
  <c r="E9" i="9"/>
  <c r="E8" i="5"/>
  <c r="E15" i="3"/>
  <c r="E10" i="3"/>
  <c r="B23" i="3" s="1"/>
  <c r="E9" i="1"/>
  <c r="CR14" i="1"/>
  <c r="H1" i="11"/>
  <c r="CT18" i="1"/>
  <c r="CX18" i="1"/>
  <c r="CU18" i="1"/>
  <c r="CQ18" i="1"/>
  <c r="CV18" i="1"/>
  <c r="CS18" i="1"/>
  <c r="CR18" i="1"/>
  <c r="CW18" i="1"/>
  <c r="CY18" i="1"/>
  <c r="CX14" i="1"/>
  <c r="CV14" i="1"/>
  <c r="CW14" i="1"/>
  <c r="CY14" i="1"/>
  <c r="CU14" i="1"/>
  <c r="AY15" i="1"/>
  <c r="AM9" i="1"/>
  <c r="BK9" i="1" s="1"/>
  <c r="CF9" i="1" s="1"/>
  <c r="CV9" i="1" s="1"/>
  <c r="AI9" i="1"/>
  <c r="BG9" i="1" s="1"/>
  <c r="CB9" i="1" s="1"/>
  <c r="CR9" i="1" s="1"/>
  <c r="AS4" i="1"/>
  <c r="BQ4" i="1" s="1"/>
  <c r="CI4" i="1" s="1"/>
  <c r="CY4" i="1" s="1"/>
  <c r="AN4" i="1"/>
  <c r="BL4" i="1" s="1"/>
  <c r="CF4" i="1" s="1"/>
  <c r="CV4" i="1" s="1"/>
  <c r="AJ4" i="1"/>
  <c r="BH4" i="1" s="1"/>
  <c r="CB4" i="1" s="1"/>
  <c r="CR4" i="1" s="1"/>
  <c r="AG4" i="1"/>
  <c r="BE4" i="1" s="1"/>
  <c r="BZ4" i="1" s="1"/>
  <c r="CP4" i="1" s="1"/>
  <c r="AI4" i="1"/>
  <c r="BG4" i="1" s="1"/>
  <c r="CA4" i="1" s="1"/>
  <c r="CQ4" i="1" s="1"/>
  <c r="AK4" i="1"/>
  <c r="BI4" i="1" s="1"/>
  <c r="CC4" i="1" s="1"/>
  <c r="CS4" i="1" s="1"/>
  <c r="AM4" i="1"/>
  <c r="BK4" i="1" s="1"/>
  <c r="CE4" i="1" s="1"/>
  <c r="CU4" i="1" s="1"/>
  <c r="AQ4" i="1"/>
  <c r="BO4" i="1" s="1"/>
  <c r="CH4" i="1" s="1"/>
  <c r="CX4" i="1" s="1"/>
  <c r="AT4" i="1"/>
  <c r="BR4" i="1" s="1"/>
  <c r="CJ4" i="1" s="1"/>
  <c r="CZ4" i="1" s="1"/>
  <c r="AF4" i="1"/>
  <c r="AV4" i="1"/>
  <c r="BT4" i="1" s="1"/>
  <c r="Y1" i="4"/>
  <c r="AB1" i="4"/>
  <c r="Z1" i="4"/>
  <c r="AP3" i="1"/>
  <c r="BN3" i="1" s="1"/>
  <c r="CK3" i="1" s="1"/>
  <c r="DA3" i="1" s="1"/>
  <c r="AL3" i="1"/>
  <c r="BJ3" i="1" s="1"/>
  <c r="CG3" i="1" s="1"/>
  <c r="CW3" i="1" s="1"/>
  <c r="AH3" i="1"/>
  <c r="BF3" i="1" s="1"/>
  <c r="CC3" i="1" s="1"/>
  <c r="CS3" i="1" s="1"/>
  <c r="DK36" i="1" s="1"/>
  <c r="EA36" i="1" s="1"/>
  <c r="AR3" i="1"/>
  <c r="BP3" i="1" s="1"/>
  <c r="CM3" i="1" s="1"/>
  <c r="DC3" i="1" s="1"/>
  <c r="DU36" i="1" s="1"/>
  <c r="EK36" i="1" s="1"/>
  <c r="BF8" i="1"/>
  <c r="CK8" i="1" s="1"/>
  <c r="DA8" i="1" s="1"/>
  <c r="AH8" i="1"/>
  <c r="AJ1" i="10"/>
  <c r="E1" i="11"/>
  <c r="AN1" i="7"/>
  <c r="AI1" i="7"/>
  <c r="AD1" i="7"/>
  <c r="Y1" i="7"/>
  <c r="AY4" i="1"/>
  <c r="BA8" i="1"/>
  <c r="BA15" i="1"/>
  <c r="AO15" i="1"/>
  <c r="BM15" i="1" s="1"/>
  <c r="AR14" i="1"/>
  <c r="BP14" i="1" s="1"/>
  <c r="AH9" i="1"/>
  <c r="BF9" i="1" s="1"/>
  <c r="AV8" i="1"/>
  <c r="BT8" i="1" s="1"/>
  <c r="AS8" i="1"/>
  <c r="BQ8" i="1" s="1"/>
  <c r="AV9" i="1"/>
  <c r="BT9" i="1" s="1"/>
  <c r="AL1" i="2"/>
  <c r="AF1" i="2"/>
  <c r="AB1" i="2"/>
  <c r="DS36" i="1"/>
  <c r="EI36" i="1" s="1"/>
  <c r="DG17" i="1"/>
  <c r="CU16" i="1"/>
  <c r="AW14" i="1"/>
  <c r="BU14" i="1" s="1"/>
  <c r="AS14" i="1"/>
  <c r="BQ14" i="1" s="1"/>
  <c r="AJ14" i="1"/>
  <c r="BH14" i="1" s="1"/>
  <c r="AF14" i="1"/>
  <c r="BD14" i="1" s="1"/>
  <c r="BA13" i="1"/>
  <c r="AN13" i="1"/>
  <c r="BL13" i="1" s="1"/>
  <c r="CF13" i="1" s="1"/>
  <c r="CV13" i="1" s="1"/>
  <c r="AJ13" i="1"/>
  <c r="BH13" i="1" s="1"/>
  <c r="CB13" i="1" s="1"/>
  <c r="CR13" i="1" s="1"/>
  <c r="AV10" i="1"/>
  <c r="BT10" i="1" s="1"/>
  <c r="AR10" i="1"/>
  <c r="BP10" i="1" s="1"/>
  <c r="CG10" i="1" s="1"/>
  <c r="CW10" i="1" s="1"/>
  <c r="AN10" i="1"/>
  <c r="BL10" i="1" s="1"/>
  <c r="CD10" i="1" s="1"/>
  <c r="CT10" i="1" s="1"/>
  <c r="AQ8" i="1"/>
  <c r="BO8" i="1" s="1"/>
  <c r="CI8" i="1" s="1"/>
  <c r="CY8" i="1" s="1"/>
  <c r="AM8" i="1"/>
  <c r="BK8" i="1" s="1"/>
  <c r="CE8" i="1" s="1"/>
  <c r="CU8" i="1" s="1"/>
  <c r="AI8" i="1"/>
  <c r="BG8" i="1" s="1"/>
  <c r="CA8" i="1" s="1"/>
  <c r="CQ8" i="1" s="1"/>
  <c r="AQ7" i="1"/>
  <c r="BO7" i="1" s="1"/>
  <c r="CG7" i="1" s="1"/>
  <c r="CW7" i="1" s="1"/>
  <c r="AI7" i="1"/>
  <c r="BG7" i="1" s="1"/>
  <c r="AG7" i="1"/>
  <c r="BE7" i="1" s="1"/>
  <c r="BZ7" i="1" s="1"/>
  <c r="CP7" i="1" s="1"/>
  <c r="AJ7" i="1"/>
  <c r="BH7" i="1" s="1"/>
  <c r="CA7" i="1" s="1"/>
  <c r="CQ7" i="1" s="1"/>
  <c r="AK7" i="1"/>
  <c r="BI7" i="1" s="1"/>
  <c r="CB7" i="1" s="1"/>
  <c r="CR7" i="1" s="1"/>
  <c r="AL7" i="1"/>
  <c r="BJ7" i="1" s="1"/>
  <c r="CC7" i="1" s="1"/>
  <c r="CS7" i="1" s="1"/>
  <c r="AN7" i="1"/>
  <c r="BL7" i="1" s="1"/>
  <c r="CD7" i="1" s="1"/>
  <c r="CT7" i="1" s="1"/>
  <c r="AO7" i="1"/>
  <c r="BM7" i="1" s="1"/>
  <c r="CE7" i="1" s="1"/>
  <c r="CU7" i="1" s="1"/>
  <c r="AP7" i="1"/>
  <c r="BN7" i="1" s="1"/>
  <c r="CF7" i="1" s="1"/>
  <c r="CV7" i="1" s="1"/>
  <c r="AR7" i="1"/>
  <c r="BP7" i="1" s="1"/>
  <c r="CH7" i="1" s="1"/>
  <c r="CX7" i="1" s="1"/>
  <c r="AS7" i="1"/>
  <c r="BQ7" i="1" s="1"/>
  <c r="CI7" i="1" s="1"/>
  <c r="CY7" i="1" s="1"/>
  <c r="AU7" i="1"/>
  <c r="BS7" i="1" s="1"/>
  <c r="CJ7" i="1" s="1"/>
  <c r="CZ7" i="1" s="1"/>
  <c r="CY12" i="3"/>
  <c r="CQ3" i="1"/>
  <c r="DI36" i="1" s="1"/>
  <c r="DY36" i="1" s="1"/>
  <c r="CY15" i="1"/>
  <c r="CU12" i="3"/>
  <c r="CT12" i="3"/>
  <c r="AM1" i="2"/>
  <c r="AH1" i="2"/>
  <c r="AM1" i="7"/>
  <c r="AJ1" i="2"/>
  <c r="AA1" i="2"/>
  <c r="DH36" i="1"/>
  <c r="DX36" i="1" s="1"/>
  <c r="DT36" i="1"/>
  <c r="EJ36" i="1" s="1"/>
  <c r="DV36" i="1"/>
  <c r="EL36" i="1" s="1"/>
  <c r="DW36" i="1"/>
  <c r="CY16" i="1"/>
  <c r="AM15" i="1"/>
  <c r="BK15" i="1" s="1"/>
  <c r="CD15" i="1" s="1"/>
  <c r="CT15" i="1" s="1"/>
  <c r="AE15" i="1"/>
  <c r="BC15" i="1" s="1"/>
  <c r="BZ15" i="1" s="1"/>
  <c r="CP15" i="1" s="1"/>
  <c r="AQ10" i="1"/>
  <c r="BO10" i="1" s="1"/>
  <c r="CF10" i="1" s="1"/>
  <c r="CV10" i="1" s="1"/>
  <c r="AL10" i="1"/>
  <c r="BJ10" i="1" s="1"/>
  <c r="CC10" i="1" s="1"/>
  <c r="CS10" i="1" s="1"/>
  <c r="AO9" i="1"/>
  <c r="BM9" i="1" s="1"/>
  <c r="CH9" i="1" s="1"/>
  <c r="CX9" i="1" s="1"/>
  <c r="AK9" i="1"/>
  <c r="BI9" i="1" s="1"/>
  <c r="CD9" i="1" s="1"/>
  <c r="CT9" i="1" s="1"/>
  <c r="AF9" i="1"/>
  <c r="BD9" i="1" s="1"/>
  <c r="BZ9" i="1" s="1"/>
  <c r="CP9" i="1" s="1"/>
  <c r="AP8" i="1"/>
  <c r="BN8" i="1" s="1"/>
  <c r="CH8" i="1" s="1"/>
  <c r="CX8" i="1" s="1"/>
  <c r="AL8" i="1"/>
  <c r="BJ8" i="1" s="1"/>
  <c r="CD8" i="1" s="1"/>
  <c r="CT8" i="1" s="1"/>
  <c r="AG8" i="1"/>
  <c r="BE8" i="1" s="1"/>
  <c r="BZ8" i="1" s="1"/>
  <c r="CP8" i="1" s="1"/>
  <c r="AP4" i="1"/>
  <c r="BN4" i="1" s="1"/>
  <c r="CG4" i="1" s="1"/>
  <c r="CW4" i="1" s="1"/>
  <c r="AL4" i="1"/>
  <c r="BJ4" i="1" s="1"/>
  <c r="CD4" i="1" s="1"/>
  <c r="CT4" i="1" s="1"/>
  <c r="AA1" i="4"/>
  <c r="BC11" i="1"/>
  <c r="CF11" i="1" s="1"/>
  <c r="CW15" i="1"/>
  <c r="AO3" i="1"/>
  <c r="BM3" i="1" s="1"/>
  <c r="CJ3" i="1" s="1"/>
  <c r="CZ3" i="1" s="1"/>
  <c r="DR36" i="1" s="1"/>
  <c r="EH36" i="1" s="1"/>
  <c r="DA4" i="1"/>
  <c r="DB4" i="1"/>
  <c r="BR7" i="1"/>
  <c r="CK7" i="1" s="1"/>
  <c r="DA7" i="1" s="1"/>
  <c r="AT7" i="1"/>
  <c r="CZ9" i="1"/>
  <c r="BO9" i="1"/>
  <c r="CK9" i="1" s="1"/>
  <c r="DA9" i="1" s="1"/>
  <c r="AQ9" i="1"/>
  <c r="BD10" i="1"/>
  <c r="CJ10" i="1" s="1"/>
  <c r="CZ10" i="1" s="1"/>
  <c r="AK10" i="1"/>
  <c r="BI10" i="1" s="1"/>
  <c r="CB10" i="1" s="1"/>
  <c r="CR10" i="1" s="1"/>
  <c r="AF10" i="1"/>
  <c r="AT10" i="1"/>
  <c r="BR10" i="1" s="1"/>
  <c r="DB13" i="1"/>
  <c r="BD15" i="1"/>
  <c r="CJ15" i="1" s="1"/>
  <c r="CZ15" i="1" s="1"/>
  <c r="AF15" i="1"/>
  <c r="CZ13" i="1"/>
  <c r="AS18" i="3"/>
  <c r="AJ18" i="3"/>
  <c r="BH18" i="3" s="1"/>
  <c r="CS12" i="3"/>
  <c r="CP12" i="3"/>
  <c r="DB16" i="5"/>
  <c r="CV16" i="5"/>
  <c r="AC1" i="2"/>
  <c r="AG1" i="2"/>
  <c r="AK1" i="2"/>
  <c r="AC1" i="7"/>
  <c r="AG1" i="7"/>
  <c r="AK1" i="7"/>
  <c r="AE1" i="10"/>
  <c r="AI1" i="10"/>
  <c r="AM1" i="10"/>
  <c r="AL1" i="7"/>
  <c r="AF1" i="7"/>
  <c r="AB1" i="7"/>
  <c r="AR15" i="1"/>
  <c r="AJ15" i="1"/>
  <c r="AU15" i="1"/>
  <c r="BS15" i="1" s="1"/>
  <c r="AN1" i="2"/>
  <c r="AI1" i="2"/>
  <c r="AD1" i="2"/>
  <c r="Y1" i="2"/>
  <c r="DO36" i="1"/>
  <c r="EE36" i="1" s="1"/>
  <c r="CX16" i="1"/>
  <c r="AU14" i="1"/>
  <c r="BS14" i="1" s="1"/>
  <c r="AQ14" i="1"/>
  <c r="BO14" i="1" s="1"/>
  <c r="AH14" i="1"/>
  <c r="BF14" i="1" s="1"/>
  <c r="AL14" i="1"/>
  <c r="BJ14" i="1" s="1"/>
  <c r="BZ14" i="1" s="1"/>
  <c r="CP14" i="1" s="1"/>
  <c r="AP13" i="1"/>
  <c r="BN13" i="1" s="1"/>
  <c r="CH13" i="1" s="1"/>
  <c r="CX13" i="1" s="1"/>
  <c r="AL13" i="1"/>
  <c r="BJ13" i="1" s="1"/>
  <c r="CD13" i="1" s="1"/>
  <c r="CT13" i="1" s="1"/>
  <c r="AF13" i="1"/>
  <c r="BD13" i="1" s="1"/>
  <c r="BZ13" i="1" s="1"/>
  <c r="CP13" i="1" s="1"/>
  <c r="AK13" i="1"/>
  <c r="BI13" i="1" s="1"/>
  <c r="CC13" i="1" s="1"/>
  <c r="CS13" i="1" s="1"/>
  <c r="AO13" i="1"/>
  <c r="BM13" i="1" s="1"/>
  <c r="CG13" i="1" s="1"/>
  <c r="CW13" i="1" s="1"/>
  <c r="AI13" i="1"/>
  <c r="AT13" i="1"/>
  <c r="BR13" i="1" s="1"/>
  <c r="AX13" i="1"/>
  <c r="BV13" i="1" s="1"/>
  <c r="AX9" i="1"/>
  <c r="BV9" i="1" s="1"/>
  <c r="AT9" i="1"/>
  <c r="BR9" i="1" s="1"/>
  <c r="AO8" i="1"/>
  <c r="BM8" i="1" s="1"/>
  <c r="CG8" i="1" s="1"/>
  <c r="CW8" i="1" s="1"/>
  <c r="AF7" i="1"/>
  <c r="BD7" i="1" s="1"/>
  <c r="C5" i="2"/>
  <c r="F17" i="1"/>
  <c r="K17" i="1"/>
  <c r="J17" i="1"/>
  <c r="O17" i="1"/>
  <c r="S17" i="1"/>
  <c r="W17" i="1"/>
  <c r="AU17" i="1" s="1"/>
  <c r="BS17" i="1" s="1"/>
  <c r="AA17" i="1"/>
  <c r="AN3" i="1"/>
  <c r="BL3" i="1" s="1"/>
  <c r="CI3" i="1" s="1"/>
  <c r="CY3" i="1" s="1"/>
  <c r="DQ36" i="1" s="1"/>
  <c r="EG36" i="1" s="1"/>
  <c r="AM3" i="1"/>
  <c r="BK3" i="1" s="1"/>
  <c r="CH3" i="1" s="1"/>
  <c r="CX3" i="1" s="1"/>
  <c r="DP36" i="1" s="1"/>
  <c r="EF36" i="1" s="1"/>
  <c r="AI3" i="1"/>
  <c r="BG3" i="1" s="1"/>
  <c r="CD3" i="1" s="1"/>
  <c r="CT3" i="1" s="1"/>
  <c r="DL36" i="1" s="1"/>
  <c r="EB36" i="1" s="1"/>
  <c r="CQ12" i="3"/>
  <c r="CT17" i="5"/>
  <c r="CR17" i="5"/>
  <c r="AF8" i="3"/>
  <c r="BD8" i="3" s="1"/>
  <c r="BZ8" i="3" s="1"/>
  <c r="AU4" i="3"/>
  <c r="BS4" i="3" s="1"/>
  <c r="CM4" i="3" s="1"/>
  <c r="AQ4" i="3"/>
  <c r="BO4" i="3" s="1"/>
  <c r="CI4" i="3" s="1"/>
  <c r="AM4" i="3"/>
  <c r="BK4" i="3" s="1"/>
  <c r="CE4" i="3" s="1"/>
  <c r="AG4" i="3"/>
  <c r="BE4" i="3" s="1"/>
  <c r="CA4" i="3" s="1"/>
  <c r="AJ4" i="3"/>
  <c r="BH4" i="3" s="1"/>
  <c r="CB4" i="3" s="1"/>
  <c r="AK4" i="3"/>
  <c r="BI4" i="3" s="1"/>
  <c r="CC4" i="3" s="1"/>
  <c r="AF4" i="3"/>
  <c r="BD4" i="3" s="1"/>
  <c r="BZ4" i="3" s="1"/>
  <c r="CY3" i="3"/>
  <c r="CO3" i="3"/>
  <c r="DF3" i="3"/>
  <c r="DG3" i="3" s="1"/>
  <c r="CZ3" i="3" s="1"/>
  <c r="DA16" i="5"/>
  <c r="CT5" i="5"/>
  <c r="CU5" i="5"/>
  <c r="CU3" i="5"/>
  <c r="DM36" i="5" s="1"/>
  <c r="EC36" i="5" s="1"/>
  <c r="CT3" i="5"/>
  <c r="DL36" i="5" s="1"/>
  <c r="EB36" i="5" s="1"/>
  <c r="AZ3" i="1"/>
  <c r="AV3" i="1"/>
  <c r="BT3" i="1" s="1"/>
  <c r="AT3" i="1"/>
  <c r="BR3" i="1" s="1"/>
  <c r="AF3" i="1"/>
  <c r="AZ4" i="3"/>
  <c r="AP5" i="3"/>
  <c r="BN5" i="3" s="1"/>
  <c r="BA8" i="3"/>
  <c r="AS8" i="3"/>
  <c r="AY10" i="3"/>
  <c r="AE10" i="3"/>
  <c r="BC10" i="3" s="1"/>
  <c r="AU11" i="3"/>
  <c r="BS11" i="3" s="1"/>
  <c r="AE13" i="3"/>
  <c r="AS13" i="3"/>
  <c r="BQ13" i="3" s="1"/>
  <c r="AW13" i="3"/>
  <c r="BU13" i="3" s="1"/>
  <c r="AZ14" i="3"/>
  <c r="AF14" i="3"/>
  <c r="AG15" i="3"/>
  <c r="AL16" i="3"/>
  <c r="AZ17" i="3"/>
  <c r="AZ18" i="3"/>
  <c r="AG18" i="3"/>
  <c r="BE18" i="3" s="1"/>
  <c r="AM15" i="3"/>
  <c r="BK15" i="3" s="1"/>
  <c r="AK15" i="3"/>
  <c r="BI15" i="3" s="1"/>
  <c r="AP13" i="3"/>
  <c r="BN13" i="3" s="1"/>
  <c r="AG13" i="3"/>
  <c r="AO8" i="3"/>
  <c r="AL4" i="3"/>
  <c r="BJ4" i="3" s="1"/>
  <c r="CD4" i="3" s="1"/>
  <c r="AP11" i="3"/>
  <c r="BN11" i="3" s="1"/>
  <c r="CI11" i="3" s="1"/>
  <c r="AB18" i="1"/>
  <c r="X18" i="1"/>
  <c r="T18" i="1"/>
  <c r="P18" i="1"/>
  <c r="L18" i="1"/>
  <c r="AL18" i="1" s="1"/>
  <c r="BJ18" i="1" s="1"/>
  <c r="AA16" i="1"/>
  <c r="W16" i="1"/>
  <c r="S16" i="1"/>
  <c r="O16" i="1"/>
  <c r="AM16" i="1" s="1"/>
  <c r="BK16" i="1" s="1"/>
  <c r="CA16" i="1" s="1"/>
  <c r="CQ16" i="1" s="1"/>
  <c r="J16" i="1"/>
  <c r="AA12" i="1"/>
  <c r="W12" i="1"/>
  <c r="R12" i="1"/>
  <c r="AP12" i="1" s="1"/>
  <c r="BN12" i="1" s="1"/>
  <c r="CH12" i="1" s="1"/>
  <c r="CX12" i="1" s="1"/>
  <c r="N12" i="1"/>
  <c r="J12" i="1"/>
  <c r="AI12" i="1" s="1"/>
  <c r="BG12" i="1" s="1"/>
  <c r="CB12" i="1" s="1"/>
  <c r="CR12" i="1" s="1"/>
  <c r="DF11" i="1"/>
  <c r="DG11" i="1" s="1"/>
  <c r="AC11" i="1"/>
  <c r="Y11" i="1"/>
  <c r="S11" i="1"/>
  <c r="N11" i="1"/>
  <c r="J11" i="1"/>
  <c r="AN11" i="1" s="1"/>
  <c r="BL11" i="1" s="1"/>
  <c r="CD11" i="1" s="1"/>
  <c r="CT11" i="1" s="1"/>
  <c r="DF5" i="1"/>
  <c r="DG5" i="1" s="1"/>
  <c r="CY5" i="1" s="1"/>
  <c r="AC5" i="1"/>
  <c r="Y5" i="1"/>
  <c r="U5" i="1"/>
  <c r="AS5" i="1" s="1"/>
  <c r="BQ5" i="1" s="1"/>
  <c r="CD5" i="1" s="1"/>
  <c r="CT5" i="1" s="1"/>
  <c r="Q5" i="1"/>
  <c r="L5" i="1"/>
  <c r="H5" i="1"/>
  <c r="AU5" i="1" s="1"/>
  <c r="BS5" i="1" s="1"/>
  <c r="AB2" i="1"/>
  <c r="X2" i="1"/>
  <c r="T2" i="1"/>
  <c r="P2" i="1"/>
  <c r="L2" i="1"/>
  <c r="AQ2" i="1" s="1"/>
  <c r="BO2" i="1" s="1"/>
  <c r="CH2" i="1" s="1"/>
  <c r="CX2" i="1" s="1"/>
  <c r="DP21" i="1" s="1"/>
  <c r="EF21" i="1" s="1"/>
  <c r="CZ12" i="3"/>
  <c r="DC14" i="3"/>
  <c r="AC1" i="4" a="1"/>
  <c r="C5" i="4"/>
  <c r="F11" i="3"/>
  <c r="F15" i="3"/>
  <c r="AN16" i="3"/>
  <c r="BL16" i="3" s="1"/>
  <c r="CH16" i="3" s="1"/>
  <c r="AR15" i="3"/>
  <c r="BP15" i="3" s="1"/>
  <c r="CD15" i="3" s="1"/>
  <c r="CT15" i="3" s="1"/>
  <c r="DF15" i="3"/>
  <c r="DG15" i="3" s="1"/>
  <c r="CX15" i="3" s="1"/>
  <c r="AZ15" i="3"/>
  <c r="BX15" i="3" s="1"/>
  <c r="CK15" i="3" s="1"/>
  <c r="DA15" i="3" s="1"/>
  <c r="AF13" i="3"/>
  <c r="BD13" i="3" s="1"/>
  <c r="BZ13" i="3" s="1"/>
  <c r="AH13" i="3"/>
  <c r="BF13" i="3" s="1"/>
  <c r="CA13" i="3" s="1"/>
  <c r="AL12" i="3"/>
  <c r="BJ12" i="3" s="1"/>
  <c r="CF12" i="3" s="1"/>
  <c r="CV12" i="3" s="1"/>
  <c r="AH12" i="3"/>
  <c r="BF12" i="3" s="1"/>
  <c r="CB12" i="3" s="1"/>
  <c r="CR12" i="3" s="1"/>
  <c r="CO12" i="3"/>
  <c r="DF11" i="3"/>
  <c r="DG11" i="3" s="1"/>
  <c r="CP11" i="3" s="1"/>
  <c r="AL10" i="3"/>
  <c r="BJ10" i="3" s="1"/>
  <c r="CD10" i="3" s="1"/>
  <c r="AP10" i="3"/>
  <c r="BN10" i="3" s="1"/>
  <c r="CG10" i="3" s="1"/>
  <c r="AL9" i="3"/>
  <c r="BJ9" i="3" s="1"/>
  <c r="CE9" i="3" s="1"/>
  <c r="AH9" i="3"/>
  <c r="BF9" i="3" s="1"/>
  <c r="CA9" i="3" s="1"/>
  <c r="CO8" i="3"/>
  <c r="DE8" i="3"/>
  <c r="DG8" i="3" s="1"/>
  <c r="AP7" i="3"/>
  <c r="BN7" i="3" s="1"/>
  <c r="CJ7" i="3" s="1"/>
  <c r="AL7" i="3"/>
  <c r="BJ7" i="3" s="1"/>
  <c r="CF7" i="3" s="1"/>
  <c r="AH7" i="3"/>
  <c r="BF7" i="3" s="1"/>
  <c r="CB7" i="3" s="1"/>
  <c r="DB3" i="3"/>
  <c r="CX3" i="3"/>
  <c r="CP3" i="3"/>
  <c r="AH3" i="3"/>
  <c r="BF3" i="3" s="1"/>
  <c r="CC3" i="3" s="1"/>
  <c r="CS3" i="3" s="1"/>
  <c r="CY2" i="3"/>
  <c r="CU2" i="3"/>
  <c r="CQ2" i="3"/>
  <c r="CP2" i="3"/>
  <c r="CW18" i="5"/>
  <c r="AH18" i="5"/>
  <c r="BF18" i="5" s="1"/>
  <c r="CB18" i="5" s="1"/>
  <c r="CR18" i="5" s="1"/>
  <c r="CP18" i="5"/>
  <c r="AJ17" i="5"/>
  <c r="BH17" i="5" s="1"/>
  <c r="CC17" i="5" s="1"/>
  <c r="CS17" i="5" s="1"/>
  <c r="CP17" i="5"/>
  <c r="CR16" i="5"/>
  <c r="AI16" i="5"/>
  <c r="BG16" i="5" s="1"/>
  <c r="CD16" i="5" s="1"/>
  <c r="CT16" i="5" s="1"/>
  <c r="CO15" i="5"/>
  <c r="DE15" i="5"/>
  <c r="DG15" i="5" s="1"/>
  <c r="F15" i="5"/>
  <c r="AY15" i="3"/>
  <c r="BW15" i="3" s="1"/>
  <c r="F18" i="3"/>
  <c r="AU14" i="3"/>
  <c r="BS14" i="3" s="1"/>
  <c r="CH14" i="3" s="1"/>
  <c r="CX14" i="3" s="1"/>
  <c r="AK14" i="3"/>
  <c r="BI14" i="3" s="1"/>
  <c r="CD14" i="3" s="1"/>
  <c r="CT14" i="3" s="1"/>
  <c r="AM11" i="3"/>
  <c r="BK11" i="3" s="1"/>
  <c r="CG11" i="3" s="1"/>
  <c r="AI11" i="3"/>
  <c r="BG11" i="3" s="1"/>
  <c r="CC11" i="3" s="1"/>
  <c r="CS11" i="3" s="1"/>
  <c r="AN10" i="3"/>
  <c r="BL10" i="3" s="1"/>
  <c r="CE10" i="3" s="1"/>
  <c r="AI10" i="3"/>
  <c r="BG10" i="3" s="1"/>
  <c r="CA10" i="3" s="1"/>
  <c r="AQ10" i="3"/>
  <c r="BO10" i="3" s="1"/>
  <c r="CH10" i="3" s="1"/>
  <c r="AH10" i="3"/>
  <c r="BF10" i="3" s="1"/>
  <c r="BZ10" i="3" s="1"/>
  <c r="AK8" i="3"/>
  <c r="BI8" i="3" s="1"/>
  <c r="CE8" i="3" s="1"/>
  <c r="AG8" i="3"/>
  <c r="BE8" i="3" s="1"/>
  <c r="CA8" i="3" s="1"/>
  <c r="AJ5" i="3"/>
  <c r="BH5" i="3" s="1"/>
  <c r="CD5" i="3" s="1"/>
  <c r="AM5" i="3"/>
  <c r="BK5" i="3" s="1"/>
  <c r="CG5" i="3" s="1"/>
  <c r="AE5" i="3"/>
  <c r="BC5" i="3" s="1"/>
  <c r="BZ5" i="3" s="1"/>
  <c r="AL5" i="3"/>
  <c r="BJ5" i="3" s="1"/>
  <c r="CF5" i="3" s="1"/>
  <c r="AS4" i="3"/>
  <c r="BQ4" i="3" s="1"/>
  <c r="CK4" i="3" s="1"/>
  <c r="AO4" i="3"/>
  <c r="BM4" i="3" s="1"/>
  <c r="CG4" i="3" s="1"/>
  <c r="DA3" i="3"/>
  <c r="CW3" i="3"/>
  <c r="CO5" i="3"/>
  <c r="DE5" i="3"/>
  <c r="DG5" i="3" s="1"/>
  <c r="F13" i="3"/>
  <c r="DF13" i="3"/>
  <c r="DG13" i="3" s="1"/>
  <c r="CW13" i="3" s="1"/>
  <c r="CU18" i="5"/>
  <c r="BE18" i="5"/>
  <c r="CA18" i="5" s="1"/>
  <c r="CQ18" i="5" s="1"/>
  <c r="AP18" i="5"/>
  <c r="BN18" i="5" s="1"/>
  <c r="CJ18" i="5" s="1"/>
  <c r="CZ18" i="5" s="1"/>
  <c r="CY17" i="5"/>
  <c r="CW17" i="5"/>
  <c r="AM17" i="5"/>
  <c r="BK17" i="5" s="1"/>
  <c r="CF17" i="5" s="1"/>
  <c r="CV17" i="5" s="1"/>
  <c r="CQ16" i="5"/>
  <c r="CW16" i="5"/>
  <c r="AH16" i="5"/>
  <c r="BF16" i="5" s="1"/>
  <c r="CC16" i="5" s="1"/>
  <c r="CS16" i="5" s="1"/>
  <c r="AS15" i="5"/>
  <c r="BQ15" i="5" s="1"/>
  <c r="CI15" i="5" s="1"/>
  <c r="AK15" i="5"/>
  <c r="BI15" i="5" s="1"/>
  <c r="CF15" i="5" s="1"/>
  <c r="AE15" i="5"/>
  <c r="BC15" i="5" s="1"/>
  <c r="BZ15" i="5" s="1"/>
  <c r="AL15" i="5"/>
  <c r="BJ15" i="5" s="1"/>
  <c r="CG15" i="5" s="1"/>
  <c r="AK13" i="5"/>
  <c r="BI13" i="5" s="1"/>
  <c r="CF13" i="5" s="1"/>
  <c r="AO13" i="5"/>
  <c r="BM13" i="5" s="1"/>
  <c r="CJ13" i="5" s="1"/>
  <c r="CO13" i="5"/>
  <c r="DF13" i="5"/>
  <c r="DG13" i="5" s="1"/>
  <c r="CP13" i="5" s="1"/>
  <c r="DE13" i="5"/>
  <c r="AP9" i="1"/>
  <c r="BN9" i="1" s="1"/>
  <c r="CI9" i="1" s="1"/>
  <c r="CY9" i="1" s="1"/>
  <c r="AN9" i="1"/>
  <c r="BL9" i="1" s="1"/>
  <c r="CG9" i="1" s="1"/>
  <c r="CW9" i="1" s="1"/>
  <c r="AL9" i="1"/>
  <c r="BJ9" i="1" s="1"/>
  <c r="CE9" i="1" s="1"/>
  <c r="CU9" i="1" s="1"/>
  <c r="AJ9" i="1"/>
  <c r="BH9" i="1" s="1"/>
  <c r="CC9" i="1" s="1"/>
  <c r="CS9" i="1" s="1"/>
  <c r="AG9" i="1"/>
  <c r="BE9" i="1" s="1"/>
  <c r="CA9" i="1" s="1"/>
  <c r="CQ9" i="1" s="1"/>
  <c r="B36" i="3"/>
  <c r="AG3" i="1"/>
  <c r="BE3" i="1" s="1"/>
  <c r="CB3" i="1" s="1"/>
  <c r="CR3" i="1" s="1"/>
  <c r="DJ36" i="1" s="1"/>
  <c r="DZ36" i="1" s="1"/>
  <c r="AK3" i="1"/>
  <c r="BI3" i="1" s="1"/>
  <c r="CF3" i="1" s="1"/>
  <c r="CV3" i="1" s="1"/>
  <c r="DN36" i="1" s="1"/>
  <c r="ED36" i="1" s="1"/>
  <c r="F16" i="3"/>
  <c r="F17" i="3"/>
  <c r="DE18" i="3"/>
  <c r="DG18" i="3" s="1"/>
  <c r="DE17" i="3"/>
  <c r="DG17" i="3" s="1"/>
  <c r="DE16" i="3"/>
  <c r="DG16" i="3" s="1"/>
  <c r="AT15" i="3"/>
  <c r="BR15" i="3" s="1"/>
  <c r="CF15" i="3" s="1"/>
  <c r="CV15" i="3" s="1"/>
  <c r="AP15" i="3"/>
  <c r="BN15" i="3" s="1"/>
  <c r="CB15" i="3" s="1"/>
  <c r="CR15" i="3" s="1"/>
  <c r="AV14" i="3"/>
  <c r="BT14" i="3" s="1"/>
  <c r="CI14" i="3" s="1"/>
  <c r="CY14" i="3" s="1"/>
  <c r="AN14" i="3"/>
  <c r="BL14" i="3" s="1"/>
  <c r="CE14" i="3" s="1"/>
  <c r="CU14" i="3" s="1"/>
  <c r="AJ11" i="3"/>
  <c r="BH11" i="3" s="1"/>
  <c r="CD11" i="3" s="1"/>
  <c r="CT11" i="3" s="1"/>
  <c r="CO10" i="3"/>
  <c r="DE10" i="3"/>
  <c r="DG10" i="3" s="1"/>
  <c r="CS10" i="3" s="1"/>
  <c r="AR9" i="3"/>
  <c r="BP9" i="3" s="1"/>
  <c r="CK9" i="3" s="1"/>
  <c r="AN9" i="3"/>
  <c r="BL9" i="3" s="1"/>
  <c r="CG9" i="3" s="1"/>
  <c r="DE9" i="3"/>
  <c r="DG9" i="3" s="1"/>
  <c r="DG7" i="3"/>
  <c r="DC7" i="3" s="1"/>
  <c r="AN7" i="3"/>
  <c r="BL7" i="3" s="1"/>
  <c r="CH7" i="3" s="1"/>
  <c r="CX7" i="3" s="1"/>
  <c r="AJ7" i="3"/>
  <c r="BH7" i="3" s="1"/>
  <c r="CD7" i="3" s="1"/>
  <c r="AG7" i="3"/>
  <c r="BE7" i="3" s="1"/>
  <c r="CA7" i="3" s="1"/>
  <c r="CQ7" i="3" s="1"/>
  <c r="AI7" i="3"/>
  <c r="BG7" i="3" s="1"/>
  <c r="CC7" i="3" s="1"/>
  <c r="CS7" i="3" s="1"/>
  <c r="AK7" i="3"/>
  <c r="BI7" i="3" s="1"/>
  <c r="CE7" i="3" s="1"/>
  <c r="CU7" i="3" s="1"/>
  <c r="AM7" i="3"/>
  <c r="BK7" i="3" s="1"/>
  <c r="CG7" i="3" s="1"/>
  <c r="AO7" i="3"/>
  <c r="BM7" i="3" s="1"/>
  <c r="CI7" i="3" s="1"/>
  <c r="CY7" i="3" s="1"/>
  <c r="AS7" i="3"/>
  <c r="BQ7" i="3" s="1"/>
  <c r="CK7" i="3" s="1"/>
  <c r="DA7" i="3" s="1"/>
  <c r="AR4" i="3"/>
  <c r="BP4" i="3" s="1"/>
  <c r="CJ4" i="3" s="1"/>
  <c r="CZ4" i="3" s="1"/>
  <c r="AN4" i="3"/>
  <c r="BL4" i="3" s="1"/>
  <c r="CF4" i="3" s="1"/>
  <c r="AP4" i="3"/>
  <c r="BN4" i="3" s="1"/>
  <c r="CH4" i="3" s="1"/>
  <c r="CX4" i="3" s="1"/>
  <c r="AJ3" i="3"/>
  <c r="BH3" i="3" s="1"/>
  <c r="CD3" i="3" s="1"/>
  <c r="AF3" i="3"/>
  <c r="BD3" i="3" s="1"/>
  <c r="CA3" i="3" s="1"/>
  <c r="CQ3" i="3" s="1"/>
  <c r="DA2" i="3"/>
  <c r="CW2" i="3"/>
  <c r="CS2" i="3"/>
  <c r="AT2" i="3"/>
  <c r="BR2" i="3" s="1"/>
  <c r="CL2" i="3" s="1"/>
  <c r="DC2" i="3" s="1"/>
  <c r="C5" i="7"/>
  <c r="DI21" i="5"/>
  <c r="DY21" i="5" s="1"/>
  <c r="DO21" i="5"/>
  <c r="EE21" i="5" s="1"/>
  <c r="DU21" i="5"/>
  <c r="EK21" i="5" s="1"/>
  <c r="DW21" i="5"/>
  <c r="DH21" i="5"/>
  <c r="DX21" i="5" s="1"/>
  <c r="DL21" i="5"/>
  <c r="EB21" i="5" s="1"/>
  <c r="DR21" i="5"/>
  <c r="EH21" i="5" s="1"/>
  <c r="DV21" i="5"/>
  <c r="EL21" i="5" s="1"/>
  <c r="CX18" i="5"/>
  <c r="AJ18" i="5"/>
  <c r="BH18" i="5" s="1"/>
  <c r="CD18" i="5" s="1"/>
  <c r="CS18" i="5"/>
  <c r="CX16" i="5"/>
  <c r="CP16" i="5"/>
  <c r="AG15" i="5"/>
  <c r="BE15" i="5" s="1"/>
  <c r="CB15" i="5" s="1"/>
  <c r="DB13" i="5"/>
  <c r="AI13" i="5"/>
  <c r="BG13" i="5" s="1"/>
  <c r="CD13" i="5" s="1"/>
  <c r="CT13" i="5" s="1"/>
  <c r="CW12" i="5"/>
  <c r="AT4" i="3"/>
  <c r="BR4" i="3" s="1"/>
  <c r="CL4" i="3" s="1"/>
  <c r="DB4" i="3" s="1"/>
  <c r="DE4" i="3"/>
  <c r="DG4" i="3" s="1"/>
  <c r="DD4" i="3" s="1"/>
  <c r="CO4" i="3"/>
  <c r="CO2" i="3"/>
  <c r="AL17" i="5"/>
  <c r="BJ17" i="5" s="1"/>
  <c r="CE17" i="5" s="1"/>
  <c r="CU17" i="5" s="1"/>
  <c r="AN13" i="5"/>
  <c r="BL13" i="5" s="1"/>
  <c r="CI13" i="5" s="1"/>
  <c r="CY13" i="5" s="1"/>
  <c r="AJ13" i="5"/>
  <c r="BH13" i="5" s="1"/>
  <c r="CE13" i="5" s="1"/>
  <c r="CU13" i="5" s="1"/>
  <c r="CZ11" i="5"/>
  <c r="CX11" i="5"/>
  <c r="CX14" i="9"/>
  <c r="DA14" i="9"/>
  <c r="C13" i="4"/>
  <c r="DW29" i="3"/>
  <c r="DP29" i="3"/>
  <c r="EF29" i="3" s="1"/>
  <c r="DT29" i="3"/>
  <c r="EJ29" i="3" s="1"/>
  <c r="DB12" i="5"/>
  <c r="CW11" i="5"/>
  <c r="CR4" i="5"/>
  <c r="CT4" i="5"/>
  <c r="CR3" i="5"/>
  <c r="DJ36" i="5" s="1"/>
  <c r="DZ36" i="5" s="1"/>
  <c r="CS3" i="5"/>
  <c r="DK36" i="5" s="1"/>
  <c r="EA36" i="5" s="1"/>
  <c r="CW14" i="9"/>
  <c r="CT14" i="9"/>
  <c r="CZ14" i="9"/>
  <c r="CY14" i="9"/>
  <c r="CT11" i="9"/>
  <c r="AR14" i="5"/>
  <c r="BP14" i="5" s="1"/>
  <c r="CK14" i="5" s="1"/>
  <c r="DA14" i="5" s="1"/>
  <c r="AQ14" i="5"/>
  <c r="BO14" i="5" s="1"/>
  <c r="CJ14" i="5" s="1"/>
  <c r="CZ14" i="5" s="1"/>
  <c r="AO14" i="5"/>
  <c r="BM14" i="5" s="1"/>
  <c r="CH14" i="5" s="1"/>
  <c r="CX14" i="5" s="1"/>
  <c r="AN14" i="5"/>
  <c r="BL14" i="5" s="1"/>
  <c r="CG14" i="5" s="1"/>
  <c r="CW14" i="5" s="1"/>
  <c r="AM14" i="5"/>
  <c r="BK14" i="5" s="1"/>
  <c r="CF14" i="5" s="1"/>
  <c r="CV14" i="5" s="1"/>
  <c r="AK14" i="5"/>
  <c r="BI14" i="5" s="1"/>
  <c r="CD14" i="5" s="1"/>
  <c r="CT14" i="5" s="1"/>
  <c r="AL13" i="5"/>
  <c r="BJ13" i="5" s="1"/>
  <c r="CG13" i="5" s="1"/>
  <c r="CW13" i="5" s="1"/>
  <c r="AH13" i="5"/>
  <c r="BF13" i="5" s="1"/>
  <c r="CC13" i="5" s="1"/>
  <c r="CS13" i="5" s="1"/>
  <c r="CV12" i="5"/>
  <c r="CP5" i="5"/>
  <c r="DD3" i="5"/>
  <c r="DV36" i="5" s="1"/>
  <c r="EL36" i="5" s="1"/>
  <c r="CX3" i="5"/>
  <c r="DP36" i="5" s="1"/>
  <c r="EF36" i="5" s="1"/>
  <c r="CV3" i="5"/>
  <c r="DN36" i="5" s="1"/>
  <c r="ED36" i="5" s="1"/>
  <c r="CP3" i="5"/>
  <c r="DH36" i="5" s="1"/>
  <c r="DX36" i="5" s="1"/>
  <c r="CQ3" i="5"/>
  <c r="DI36" i="5" s="1"/>
  <c r="DY36" i="5" s="1"/>
  <c r="CZ13" i="9"/>
  <c r="CP13" i="9"/>
  <c r="CZ11" i="9"/>
  <c r="DB11" i="9"/>
  <c r="CQ11" i="9"/>
  <c r="CY11" i="9"/>
  <c r="DA11" i="9"/>
  <c r="BS12" i="5"/>
  <c r="CK12" i="5" s="1"/>
  <c r="AS12" i="5"/>
  <c r="BQ12" i="5" s="1"/>
  <c r="CI12" i="5" s="1"/>
  <c r="CY12" i="5" s="1"/>
  <c r="DF12" i="5"/>
  <c r="DG12" i="5" s="1"/>
  <c r="CP12" i="5" s="1"/>
  <c r="CO12" i="5"/>
  <c r="AP11" i="5"/>
  <c r="BN11" i="5" s="1"/>
  <c r="CI11" i="5" s="1"/>
  <c r="CY11" i="5" s="1"/>
  <c r="CQ11" i="5"/>
  <c r="AM10" i="5"/>
  <c r="BK10" i="5" s="1"/>
  <c r="CH10" i="5" s="1"/>
  <c r="AQ8" i="5"/>
  <c r="BO8" i="5" s="1"/>
  <c r="CK8" i="5" s="1"/>
  <c r="DA8" i="5" s="1"/>
  <c r="AP8" i="5"/>
  <c r="BN8" i="5" s="1"/>
  <c r="CJ8" i="5" s="1"/>
  <c r="CZ8" i="5" s="1"/>
  <c r="AO8" i="5"/>
  <c r="BM8" i="5" s="1"/>
  <c r="CI8" i="5" s="1"/>
  <c r="CY8" i="5" s="1"/>
  <c r="AM8" i="5"/>
  <c r="BK8" i="5" s="1"/>
  <c r="CG8" i="5" s="1"/>
  <c r="CW8" i="5" s="1"/>
  <c r="AL8" i="5"/>
  <c r="BJ8" i="5" s="1"/>
  <c r="CF8" i="5" s="1"/>
  <c r="CV8" i="5" s="1"/>
  <c r="AK8" i="5"/>
  <c r="BI8" i="5" s="1"/>
  <c r="CE8" i="5" s="1"/>
  <c r="CU8" i="5" s="1"/>
  <c r="AJ8" i="5"/>
  <c r="BH8" i="5" s="1"/>
  <c r="CD8" i="5" s="1"/>
  <c r="CT8" i="5" s="1"/>
  <c r="AI8" i="5"/>
  <c r="BG8" i="5" s="1"/>
  <c r="CC8" i="5" s="1"/>
  <c r="CS8" i="5" s="1"/>
  <c r="AH8" i="5"/>
  <c r="BF8" i="5" s="1"/>
  <c r="CB8" i="5" s="1"/>
  <c r="CR8" i="5" s="1"/>
  <c r="DE7" i="5"/>
  <c r="DG7" i="5" s="1"/>
  <c r="AO5" i="5"/>
  <c r="BM5" i="5" s="1"/>
  <c r="CI5" i="5" s="1"/>
  <c r="CY5" i="5" s="1"/>
  <c r="AN5" i="5"/>
  <c r="BL5" i="5" s="1"/>
  <c r="CH5" i="5" s="1"/>
  <c r="CX5" i="5" s="1"/>
  <c r="AM5" i="5"/>
  <c r="BK5" i="5" s="1"/>
  <c r="CG5" i="5" s="1"/>
  <c r="CW5" i="5" s="1"/>
  <c r="AJ18" i="9"/>
  <c r="BH18" i="9" s="1"/>
  <c r="CE18" i="9" s="1"/>
  <c r="CU18" i="9" s="1"/>
  <c r="AI18" i="9"/>
  <c r="BG18" i="9" s="1"/>
  <c r="CD18" i="9" s="1"/>
  <c r="AH18" i="9"/>
  <c r="BF18" i="9" s="1"/>
  <c r="CC18" i="9" s="1"/>
  <c r="CS18" i="9" s="1"/>
  <c r="AG18" i="9"/>
  <c r="BE18" i="9" s="1"/>
  <c r="CB18" i="9" s="1"/>
  <c r="CR18" i="9" s="1"/>
  <c r="AQ17" i="9"/>
  <c r="BO17" i="9" s="1"/>
  <c r="CJ17" i="9" s="1"/>
  <c r="AP17" i="9"/>
  <c r="BN17" i="9" s="1"/>
  <c r="CI17" i="9" s="1"/>
  <c r="CY17" i="9" s="1"/>
  <c r="AO17" i="9"/>
  <c r="BM17" i="9" s="1"/>
  <c r="CH17" i="9" s="1"/>
  <c r="AN17" i="9"/>
  <c r="BL17" i="9" s="1"/>
  <c r="CG17" i="9" s="1"/>
  <c r="CW17" i="9" s="1"/>
  <c r="AM17" i="9"/>
  <c r="BK17" i="9" s="1"/>
  <c r="CF17" i="9" s="1"/>
  <c r="AL17" i="9"/>
  <c r="BJ17" i="9" s="1"/>
  <c r="CE17" i="9" s="1"/>
  <c r="CU17" i="9" s="1"/>
  <c r="AK17" i="9"/>
  <c r="BI17" i="9" s="1"/>
  <c r="CD17" i="9" s="1"/>
  <c r="AJ17" i="9"/>
  <c r="BH17" i="9" s="1"/>
  <c r="CC17" i="9" s="1"/>
  <c r="CS17" i="9" s="1"/>
  <c r="DE17" i="9"/>
  <c r="AN16" i="9"/>
  <c r="BL16" i="9" s="1"/>
  <c r="CH16" i="9" s="1"/>
  <c r="AM16" i="9"/>
  <c r="BK16" i="9" s="1"/>
  <c r="CG16" i="9" s="1"/>
  <c r="AL16" i="9"/>
  <c r="BJ16" i="9" s="1"/>
  <c r="CF16" i="9" s="1"/>
  <c r="AK16" i="9"/>
  <c r="BI16" i="9" s="1"/>
  <c r="CE16" i="9" s="1"/>
  <c r="DE16" i="9"/>
  <c r="AH15" i="9"/>
  <c r="BF15" i="9" s="1"/>
  <c r="CC15" i="9" s="1"/>
  <c r="CS15" i="9" s="1"/>
  <c r="AG15" i="9"/>
  <c r="BE15" i="9" s="1"/>
  <c r="CB15" i="9" s="1"/>
  <c r="CR15" i="9" s="1"/>
  <c r="AF14" i="9"/>
  <c r="BD14" i="9" s="1"/>
  <c r="BZ14" i="9" s="1"/>
  <c r="CP14" i="9" s="1"/>
  <c r="AM13" i="9"/>
  <c r="BK13" i="9" s="1"/>
  <c r="CG13" i="9" s="1"/>
  <c r="CW13" i="9" s="1"/>
  <c r="AG13" i="9"/>
  <c r="BE13" i="9" s="1"/>
  <c r="CA13" i="9" s="1"/>
  <c r="CV10" i="9"/>
  <c r="CU10" i="9"/>
  <c r="CR7" i="9"/>
  <c r="CP7" i="9"/>
  <c r="DC4" i="9"/>
  <c r="CY4" i="9"/>
  <c r="CU4" i="9"/>
  <c r="DF17" i="9"/>
  <c r="DG17" i="9" s="1"/>
  <c r="CP17" i="9" s="1"/>
  <c r="DF16" i="9"/>
  <c r="DG16" i="9" s="1"/>
  <c r="CP16" i="9" s="1"/>
  <c r="AL14" i="9"/>
  <c r="BJ14" i="9" s="1"/>
  <c r="CF14" i="9" s="1"/>
  <c r="CV14" i="9" s="1"/>
  <c r="AK14" i="9"/>
  <c r="BI14" i="9" s="1"/>
  <c r="CE14" i="9" s="1"/>
  <c r="CU14" i="9" s="1"/>
  <c r="AI14" i="9"/>
  <c r="BG14" i="9" s="1"/>
  <c r="CC14" i="9" s="1"/>
  <c r="CS14" i="9" s="1"/>
  <c r="AH14" i="9"/>
  <c r="BF14" i="9" s="1"/>
  <c r="CB14" i="9" s="1"/>
  <c r="CR14" i="9" s="1"/>
  <c r="AG14" i="9"/>
  <c r="BE14" i="9" s="1"/>
  <c r="CA14" i="9" s="1"/>
  <c r="CQ14" i="9" s="1"/>
  <c r="AP12" i="9"/>
  <c r="BN12" i="9" s="1"/>
  <c r="CK12" i="9" s="1"/>
  <c r="AO12" i="9"/>
  <c r="BM12" i="9" s="1"/>
  <c r="CJ12" i="9" s="1"/>
  <c r="AN12" i="9"/>
  <c r="BL12" i="9" s="1"/>
  <c r="CI12" i="9" s="1"/>
  <c r="AM12" i="9"/>
  <c r="BK12" i="9" s="1"/>
  <c r="CH12" i="9" s="1"/>
  <c r="AL12" i="9"/>
  <c r="BJ12" i="9" s="1"/>
  <c r="CG12" i="9" s="1"/>
  <c r="AK12" i="9"/>
  <c r="BI12" i="9" s="1"/>
  <c r="CF12" i="9" s="1"/>
  <c r="AJ12" i="9"/>
  <c r="BH12" i="9" s="1"/>
  <c r="CE12" i="9" s="1"/>
  <c r="AI12" i="9"/>
  <c r="BG12" i="9" s="1"/>
  <c r="CD12" i="9" s="1"/>
  <c r="AH12" i="9"/>
  <c r="BF12" i="9" s="1"/>
  <c r="CC12" i="9" s="1"/>
  <c r="AG12" i="9"/>
  <c r="BE12" i="9" s="1"/>
  <c r="CB12" i="9" s="1"/>
  <c r="AJ11" i="9"/>
  <c r="BH11" i="9" s="1"/>
  <c r="CE11" i="9" s="1"/>
  <c r="CU11" i="9" s="1"/>
  <c r="AH11" i="9"/>
  <c r="BF11" i="9" s="1"/>
  <c r="CC11" i="9" s="1"/>
  <c r="CS11" i="9" s="1"/>
  <c r="DC9" i="9"/>
  <c r="CY7" i="9"/>
  <c r="CU7" i="9"/>
  <c r="CQ7" i="9"/>
  <c r="DB4" i="9"/>
  <c r="CX4" i="9"/>
  <c r="C20" i="10"/>
  <c r="DW36" i="9"/>
  <c r="AN12" i="5"/>
  <c r="BL12" i="5" s="1"/>
  <c r="CE12" i="5" s="1"/>
  <c r="CU12" i="5" s="1"/>
  <c r="AM12" i="5"/>
  <c r="BK12" i="5" s="1"/>
  <c r="CD12" i="5" s="1"/>
  <c r="CT12" i="5" s="1"/>
  <c r="AL12" i="5"/>
  <c r="BJ12" i="5" s="1"/>
  <c r="CC12" i="5" s="1"/>
  <c r="CS12" i="5" s="1"/>
  <c r="AK12" i="5"/>
  <c r="BI12" i="5" s="1"/>
  <c r="CB12" i="5" s="1"/>
  <c r="CR12" i="5" s="1"/>
  <c r="AM11" i="5"/>
  <c r="BK11" i="5" s="1"/>
  <c r="CF11" i="5" s="1"/>
  <c r="CV11" i="5" s="1"/>
  <c r="AL11" i="5"/>
  <c r="BJ11" i="5" s="1"/>
  <c r="CE11" i="5" s="1"/>
  <c r="CU11" i="5" s="1"/>
  <c r="AJ11" i="5"/>
  <c r="BH11" i="5" s="1"/>
  <c r="CD11" i="5" s="1"/>
  <c r="CT11" i="5" s="1"/>
  <c r="AT10" i="5"/>
  <c r="BR10" i="5" s="1"/>
  <c r="CM10" i="5" s="1"/>
  <c r="AT3" i="5"/>
  <c r="BR3" i="5" s="1"/>
  <c r="CL3" i="5" s="1"/>
  <c r="AS3" i="5"/>
  <c r="BQ3" i="5" s="1"/>
  <c r="CK3" i="5" s="1"/>
  <c r="DA3" i="5" s="1"/>
  <c r="DS36" i="5" s="1"/>
  <c r="EI36" i="5" s="1"/>
  <c r="AR3" i="5"/>
  <c r="BP3" i="5" s="1"/>
  <c r="CJ3" i="5" s="1"/>
  <c r="CZ3" i="5" s="1"/>
  <c r="DR36" i="5" s="1"/>
  <c r="EH36" i="5" s="1"/>
  <c r="AQ3" i="5"/>
  <c r="BO3" i="5" s="1"/>
  <c r="CI3" i="5" s="1"/>
  <c r="CY3" i="5" s="1"/>
  <c r="DQ36" i="5" s="1"/>
  <c r="EG36" i="5" s="1"/>
  <c r="AO3" i="5"/>
  <c r="BM3" i="5" s="1"/>
  <c r="CG3" i="5" s="1"/>
  <c r="CW3" i="5" s="1"/>
  <c r="DO36" i="5" s="1"/>
  <c r="EE36" i="5" s="1"/>
  <c r="AU2" i="5"/>
  <c r="BS2" i="5" s="1"/>
  <c r="CK2" i="5" s="1"/>
  <c r="AR2" i="5"/>
  <c r="BP2" i="5" s="1"/>
  <c r="CI2" i="5" s="1"/>
  <c r="CY2" i="5" s="1"/>
  <c r="DQ21" i="5" s="1"/>
  <c r="EG21" i="5" s="1"/>
  <c r="AQ2" i="5"/>
  <c r="BO2" i="5" s="1"/>
  <c r="CH2" i="5" s="1"/>
  <c r="CX2" i="5" s="1"/>
  <c r="DP21" i="5" s="1"/>
  <c r="EF21" i="5" s="1"/>
  <c r="AN2" i="5"/>
  <c r="BL2" i="5" s="1"/>
  <c r="CF2" i="5" s="1"/>
  <c r="CV2" i="5" s="1"/>
  <c r="DN21" i="5" s="1"/>
  <c r="ED21" i="5" s="1"/>
  <c r="AM2" i="5"/>
  <c r="BK2" i="5" s="1"/>
  <c r="CE2" i="5" s="1"/>
  <c r="CU2" i="5" s="1"/>
  <c r="DM21" i="5" s="1"/>
  <c r="EC21" i="5" s="1"/>
  <c r="AK2" i="5"/>
  <c r="BI2" i="5" s="1"/>
  <c r="CC2" i="5" s="1"/>
  <c r="CS2" i="5" s="1"/>
  <c r="DK21" i="5" s="1"/>
  <c r="EA21" i="5" s="1"/>
  <c r="AJ2" i="5"/>
  <c r="BH2" i="5" s="1"/>
  <c r="CB2" i="5" s="1"/>
  <c r="CR2" i="5" s="1"/>
  <c r="DJ21" i="5" s="1"/>
  <c r="DZ21" i="5" s="1"/>
  <c r="CO12" i="9"/>
  <c r="DF12" i="9"/>
  <c r="DG12" i="9" s="1"/>
  <c r="CQ12" i="9" s="1"/>
  <c r="AE11" i="9"/>
  <c r="BC11" i="9" s="1"/>
  <c r="BZ11" i="9" s="1"/>
  <c r="CP11" i="9" s="1"/>
  <c r="CT3" i="9"/>
  <c r="CU3" i="9"/>
  <c r="DE10" i="5"/>
  <c r="DG10" i="5" s="1"/>
  <c r="CW10" i="5" s="1"/>
  <c r="AP9" i="5"/>
  <c r="BN9" i="5" s="1"/>
  <c r="CJ9" i="5" s="1"/>
  <c r="AL9" i="5"/>
  <c r="BJ9" i="5" s="1"/>
  <c r="CF9" i="5" s="1"/>
  <c r="CV9" i="5" s="1"/>
  <c r="DF9" i="5"/>
  <c r="DG9" i="5" s="1"/>
  <c r="DA9" i="5" s="1"/>
  <c r="AO4" i="5"/>
  <c r="BM4" i="5" s="1"/>
  <c r="CJ4" i="5" s="1"/>
  <c r="CZ4" i="5" s="1"/>
  <c r="AK4" i="5"/>
  <c r="BI4" i="5" s="1"/>
  <c r="CF4" i="5" s="1"/>
  <c r="CV4" i="5" s="1"/>
  <c r="DV21" i="9"/>
  <c r="EL21" i="9" s="1"/>
  <c r="DR21" i="9"/>
  <c r="EH21" i="9" s="1"/>
  <c r="DP21" i="9"/>
  <c r="EF21" i="9" s="1"/>
  <c r="DN21" i="9"/>
  <c r="ED21" i="9" s="1"/>
  <c r="DL21" i="9"/>
  <c r="EB21" i="9" s="1"/>
  <c r="DJ21" i="9"/>
  <c r="DZ21" i="9" s="1"/>
  <c r="DH21" i="9"/>
  <c r="DX21" i="9" s="1"/>
  <c r="AL18" i="9"/>
  <c r="BJ18" i="9" s="1"/>
  <c r="CG18" i="9" s="1"/>
  <c r="CW18" i="9" s="1"/>
  <c r="AH16" i="9"/>
  <c r="BF16" i="9" s="1"/>
  <c r="CB16" i="9" s="1"/>
  <c r="CR16" i="9" s="1"/>
  <c r="AK13" i="9"/>
  <c r="BI13" i="9" s="1"/>
  <c r="CE13" i="9" s="1"/>
  <c r="CU13" i="9" s="1"/>
  <c r="AL11" i="9"/>
  <c r="BJ11" i="9" s="1"/>
  <c r="CG11" i="9" s="1"/>
  <c r="CW11" i="9" s="1"/>
  <c r="CR11" i="9"/>
  <c r="DA9" i="9"/>
  <c r="DC5" i="9"/>
  <c r="CZ5" i="9"/>
  <c r="CV5" i="9"/>
  <c r="CR5" i="9"/>
  <c r="CP5" i="9"/>
  <c r="CZ4" i="9"/>
  <c r="CV4" i="9"/>
  <c r="CP4" i="9"/>
  <c r="CQ4" i="9"/>
  <c r="DB2" i="9"/>
  <c r="DT21" i="9" s="1"/>
  <c r="EJ21" i="9" s="1"/>
  <c r="DA2" i="9"/>
  <c r="DS21" i="9" s="1"/>
  <c r="EI21" i="9" s="1"/>
  <c r="DC3" i="9"/>
  <c r="DB3" i="9"/>
  <c r="CX3" i="9"/>
  <c r="AE10" i="9"/>
  <c r="BC10" i="9" s="1"/>
  <c r="BZ10" i="9" s="1"/>
  <c r="CP10" i="9" s="1"/>
  <c r="AI4" i="9"/>
  <c r="BG4" i="9" s="1"/>
  <c r="CC4" i="9" s="1"/>
  <c r="CS4" i="9" s="1"/>
  <c r="AH4" i="9"/>
  <c r="BF4" i="9" s="1"/>
  <c r="CB4" i="9" s="1"/>
  <c r="AK3" i="9"/>
  <c r="BI3" i="9" s="1"/>
  <c r="CC3" i="9" s="1"/>
  <c r="CS3" i="9" s="1"/>
  <c r="S2" i="11"/>
  <c r="B28" i="9"/>
  <c r="AE9" i="9"/>
  <c r="BC9" i="9" s="1"/>
  <c r="BZ9" i="9" s="1"/>
  <c r="CP9" i="9" s="1"/>
  <c r="AT8" i="9"/>
  <c r="BR8" i="9" s="1"/>
  <c r="CJ8" i="9" s="1"/>
  <c r="CZ8" i="9" s="1"/>
  <c r="AR8" i="9"/>
  <c r="BP8" i="9" s="1"/>
  <c r="CI8" i="9" s="1"/>
  <c r="CY8" i="9" s="1"/>
  <c r="AP8" i="9"/>
  <c r="BN8" i="9" s="1"/>
  <c r="CG8" i="9" s="1"/>
  <c r="CW8" i="9" s="1"/>
  <c r="AO8" i="9"/>
  <c r="BM8" i="9" s="1"/>
  <c r="CF8" i="9" s="1"/>
  <c r="CV8" i="9" s="1"/>
  <c r="AN8" i="9"/>
  <c r="BL8" i="9" s="1"/>
  <c r="CE8" i="9" s="1"/>
  <c r="CU8" i="9" s="1"/>
  <c r="AK8" i="9"/>
  <c r="BI8" i="9" s="1"/>
  <c r="CC8" i="9" s="1"/>
  <c r="CS8" i="9" s="1"/>
  <c r="AI8" i="9"/>
  <c r="BG8" i="9" s="1"/>
  <c r="CB8" i="9" s="1"/>
  <c r="CR8" i="9" s="1"/>
  <c r="AR5" i="9"/>
  <c r="BP5" i="9" s="1"/>
  <c r="CL5" i="9" s="1"/>
  <c r="DB5" i="9" s="1"/>
  <c r="AQ5" i="9"/>
  <c r="BO5" i="9" s="1"/>
  <c r="CK5" i="9" s="1"/>
  <c r="DA5" i="9" s="1"/>
  <c r="AN5" i="9"/>
  <c r="BL5" i="9" s="1"/>
  <c r="CI5" i="9" s="1"/>
  <c r="CY5" i="9" s="1"/>
  <c r="AM5" i="9"/>
  <c r="BK5" i="9" s="1"/>
  <c r="CH5" i="9" s="1"/>
  <c r="CX5" i="9" s="1"/>
  <c r="AL5" i="9"/>
  <c r="BJ5" i="9" s="1"/>
  <c r="CG5" i="9" s="1"/>
  <c r="CW5" i="9" s="1"/>
  <c r="CO3" i="9"/>
  <c r="DQ36" i="9" s="1"/>
  <c r="EG36" i="9" s="1"/>
  <c r="AS10" i="9"/>
  <c r="BQ10" i="9" s="1"/>
  <c r="CL10" i="9" s="1"/>
  <c r="DB10" i="9" s="1"/>
  <c r="AR10" i="9"/>
  <c r="BP10" i="9" s="1"/>
  <c r="CK10" i="9" s="1"/>
  <c r="DA10" i="9" s="1"/>
  <c r="AO10" i="9"/>
  <c r="BM10" i="9" s="1"/>
  <c r="CI10" i="9" s="1"/>
  <c r="CY10" i="9" s="1"/>
  <c r="BL9" i="9"/>
  <c r="CI9" i="9" s="1"/>
  <c r="CY9" i="9" s="1"/>
  <c r="AM9" i="9"/>
  <c r="BK9" i="9" s="1"/>
  <c r="CH9" i="9" s="1"/>
  <c r="CX9" i="9" s="1"/>
  <c r="AL9" i="9"/>
  <c r="BJ9" i="9" s="1"/>
  <c r="CG9" i="9" s="1"/>
  <c r="CW9" i="9" s="1"/>
  <c r="AK9" i="9"/>
  <c r="BI9" i="9" s="1"/>
  <c r="CF9" i="9" s="1"/>
  <c r="CV9" i="9" s="1"/>
  <c r="AJ9" i="9"/>
  <c r="BH9" i="9" s="1"/>
  <c r="CE9" i="9" s="1"/>
  <c r="CU9" i="9" s="1"/>
  <c r="AI9" i="9"/>
  <c r="BG9" i="9" s="1"/>
  <c r="CD9" i="9" s="1"/>
  <c r="CT9" i="9" s="1"/>
  <c r="AH9" i="9"/>
  <c r="BF9" i="9" s="1"/>
  <c r="CC9" i="9" s="1"/>
  <c r="CS9" i="9" s="1"/>
  <c r="AI5" i="9"/>
  <c r="BG5" i="9" s="1"/>
  <c r="CD5" i="9" s="1"/>
  <c r="AH5" i="9"/>
  <c r="BF5" i="9" s="1"/>
  <c r="CC5" i="9" s="1"/>
  <c r="CS5" i="9" s="1"/>
  <c r="AF5" i="9"/>
  <c r="BD5" i="9" s="1"/>
  <c r="CA5" i="9" s="1"/>
  <c r="CQ5" i="9" s="1"/>
  <c r="B29" i="9"/>
  <c r="E15" i="9"/>
  <c r="E11" i="9"/>
  <c r="E7" i="9"/>
  <c r="E16" i="9"/>
  <c r="E12" i="9"/>
  <c r="B28" i="5"/>
  <c r="A29" i="5"/>
  <c r="E18" i="5"/>
  <c r="E14" i="5"/>
  <c r="E10" i="5"/>
  <c r="E17" i="5"/>
  <c r="E13" i="5"/>
  <c r="E9" i="5"/>
  <c r="B27" i="5" s="1"/>
  <c r="E15" i="5"/>
  <c r="E11" i="5"/>
  <c r="B28" i="3"/>
  <c r="E16" i="3"/>
  <c r="E12" i="3"/>
  <c r="E8" i="3"/>
  <c r="E18" i="3"/>
  <c r="E14" i="3"/>
  <c r="B29" i="1"/>
  <c r="B28" i="1"/>
  <c r="E16" i="1"/>
  <c r="E12" i="1"/>
  <c r="E8" i="1"/>
  <c r="E15" i="1"/>
  <c r="E11" i="1"/>
  <c r="E7" i="1"/>
  <c r="E18" i="1"/>
  <c r="E14" i="1"/>
  <c r="C7" i="4" l="1"/>
  <c r="DW23" i="3"/>
  <c r="DK23" i="3"/>
  <c r="EA23" i="3" s="1"/>
  <c r="B25" i="5"/>
  <c r="DL25" i="5" s="1"/>
  <c r="EB25" i="5" s="1"/>
  <c r="B34" i="5"/>
  <c r="B22" i="5"/>
  <c r="DD9" i="3"/>
  <c r="CP9" i="3"/>
  <c r="DC9" i="3"/>
  <c r="CY9" i="3"/>
  <c r="CZ9" i="3"/>
  <c r="CX9" i="3"/>
  <c r="CS9" i="3"/>
  <c r="DB9" i="3"/>
  <c r="CR9" i="3"/>
  <c r="CV9" i="3"/>
  <c r="CT9" i="3"/>
  <c r="C18" i="7"/>
  <c r="DK34" i="5"/>
  <c r="EA34" i="5" s="1"/>
  <c r="DM34" i="5"/>
  <c r="EC34" i="5" s="1"/>
  <c r="DO34" i="5"/>
  <c r="EE34" i="5" s="1"/>
  <c r="DQ34" i="5"/>
  <c r="EG34" i="5" s="1"/>
  <c r="DW34" i="5"/>
  <c r="DH34" i="5"/>
  <c r="DX34" i="5" s="1"/>
  <c r="DJ34" i="5"/>
  <c r="DZ34" i="5" s="1"/>
  <c r="DL34" i="5"/>
  <c r="EB34" i="5" s="1"/>
  <c r="DN34" i="5"/>
  <c r="ED34" i="5" s="1"/>
  <c r="DT34" i="5"/>
  <c r="EJ34" i="5" s="1"/>
  <c r="DV34" i="5"/>
  <c r="EL34" i="5" s="1"/>
  <c r="CY7" i="5"/>
  <c r="CX7" i="5"/>
  <c r="CS7" i="5"/>
  <c r="CV7" i="5"/>
  <c r="CU7" i="5"/>
  <c r="CT7" i="5"/>
  <c r="CR7" i="5"/>
  <c r="CQ7" i="5"/>
  <c r="CP7" i="5"/>
  <c r="CW7" i="5"/>
  <c r="CY17" i="3"/>
  <c r="CV17" i="3"/>
  <c r="CX17" i="3"/>
  <c r="CP17" i="3"/>
  <c r="CW17" i="3"/>
  <c r="CS17" i="3"/>
  <c r="CR17" i="3"/>
  <c r="CU17" i="3"/>
  <c r="CT17" i="3"/>
  <c r="CQ17" i="3"/>
  <c r="CX5" i="3"/>
  <c r="CY5" i="3"/>
  <c r="CS5" i="3"/>
  <c r="CR5" i="3"/>
  <c r="CQ5" i="3"/>
  <c r="DH27" i="5"/>
  <c r="DX27" i="5" s="1"/>
  <c r="DJ27" i="5"/>
  <c r="DZ27" i="5" s="1"/>
  <c r="DL27" i="5"/>
  <c r="EB27" i="5" s="1"/>
  <c r="DN27" i="5"/>
  <c r="ED27" i="5" s="1"/>
  <c r="DP27" i="5"/>
  <c r="EF27" i="5" s="1"/>
  <c r="DR27" i="5"/>
  <c r="EH27" i="5" s="1"/>
  <c r="DT27" i="5"/>
  <c r="EJ27" i="5" s="1"/>
  <c r="DV27" i="5"/>
  <c r="EL27" i="5" s="1"/>
  <c r="C11" i="7"/>
  <c r="DI27" i="5"/>
  <c r="DY27" i="5" s="1"/>
  <c r="DK27" i="5"/>
  <c r="EA27" i="5" s="1"/>
  <c r="DM27" i="5"/>
  <c r="EC27" i="5" s="1"/>
  <c r="DO27" i="5"/>
  <c r="EE27" i="5" s="1"/>
  <c r="DQ27" i="5"/>
  <c r="EG27" i="5" s="1"/>
  <c r="DS27" i="5"/>
  <c r="EI27" i="5" s="1"/>
  <c r="DU27" i="5"/>
  <c r="EK27" i="5" s="1"/>
  <c r="DW27" i="5"/>
  <c r="CW18" i="3"/>
  <c r="CY18" i="3"/>
  <c r="CU18" i="3"/>
  <c r="CV18" i="3"/>
  <c r="CP18" i="3"/>
  <c r="CT18" i="3"/>
  <c r="CX18" i="3"/>
  <c r="CR18" i="3"/>
  <c r="CQ18" i="3"/>
  <c r="CS18" i="3"/>
  <c r="CR16" i="3"/>
  <c r="CS16" i="3"/>
  <c r="CU16" i="3"/>
  <c r="CT16" i="3"/>
  <c r="CQ16" i="3"/>
  <c r="DB16" i="3"/>
  <c r="DA16" i="3"/>
  <c r="CZ16" i="3"/>
  <c r="CW16" i="3"/>
  <c r="CY16" i="3"/>
  <c r="CV16" i="3"/>
  <c r="CP16" i="3"/>
  <c r="CX15" i="5"/>
  <c r="CQ15" i="5"/>
  <c r="CS15" i="5"/>
  <c r="CU15" i="5"/>
  <c r="CT15" i="5"/>
  <c r="CX8" i="3"/>
  <c r="CV8" i="3"/>
  <c r="CW8" i="3"/>
  <c r="CZ8" i="3"/>
  <c r="CS8" i="3"/>
  <c r="DA8" i="3"/>
  <c r="CT8" i="3"/>
  <c r="CR8" i="3"/>
  <c r="CY8" i="3"/>
  <c r="C13" i="2"/>
  <c r="DS29" i="1"/>
  <c r="EI29" i="1" s="1"/>
  <c r="DQ29" i="1"/>
  <c r="EG29" i="1" s="1"/>
  <c r="DV29" i="1"/>
  <c r="EL29" i="1" s="1"/>
  <c r="DL29" i="1"/>
  <c r="EB29" i="1" s="1"/>
  <c r="DT29" i="1"/>
  <c r="EJ29" i="1" s="1"/>
  <c r="DW29" i="1"/>
  <c r="DR29" i="1"/>
  <c r="EH29" i="1" s="1"/>
  <c r="DU29" i="1"/>
  <c r="EK29" i="1" s="1"/>
  <c r="C12" i="7"/>
  <c r="DI28" i="5"/>
  <c r="DY28" i="5" s="1"/>
  <c r="DK28" i="5"/>
  <c r="EA28" i="5" s="1"/>
  <c r="DM28" i="5"/>
  <c r="EC28" i="5" s="1"/>
  <c r="DO28" i="5"/>
  <c r="EE28" i="5" s="1"/>
  <c r="DQ28" i="5"/>
  <c r="EG28" i="5" s="1"/>
  <c r="DS28" i="5"/>
  <c r="EI28" i="5" s="1"/>
  <c r="DU28" i="5"/>
  <c r="EK28" i="5" s="1"/>
  <c r="DW28" i="5"/>
  <c r="DH28" i="5"/>
  <c r="DX28" i="5" s="1"/>
  <c r="DJ28" i="5"/>
  <c r="DZ28" i="5" s="1"/>
  <c r="DL28" i="5"/>
  <c r="EB28" i="5" s="1"/>
  <c r="DN28" i="5"/>
  <c r="ED28" i="5" s="1"/>
  <c r="DP28" i="5"/>
  <c r="EF28" i="5" s="1"/>
  <c r="DR28" i="5"/>
  <c r="EH28" i="5" s="1"/>
  <c r="DT28" i="5"/>
  <c r="EJ28" i="5" s="1"/>
  <c r="DV28" i="5"/>
  <c r="EL28" i="5" s="1"/>
  <c r="DJ25" i="5"/>
  <c r="DZ25" i="5" s="1"/>
  <c r="DR25" i="5"/>
  <c r="EH25" i="5" s="1"/>
  <c r="DI25" i="5"/>
  <c r="DY25" i="5" s="1"/>
  <c r="DQ25" i="5"/>
  <c r="EG25" i="5" s="1"/>
  <c r="B23" i="1"/>
  <c r="B24" i="1"/>
  <c r="B26" i="1"/>
  <c r="B22" i="1"/>
  <c r="B27" i="1"/>
  <c r="B25" i="1"/>
  <c r="B35" i="1"/>
  <c r="B31" i="1"/>
  <c r="B30" i="1"/>
  <c r="B34" i="1"/>
  <c r="B33" i="1"/>
  <c r="B32" i="1"/>
  <c r="B26" i="5"/>
  <c r="B23" i="5"/>
  <c r="B32" i="5"/>
  <c r="CT5" i="9"/>
  <c r="CU5" i="9"/>
  <c r="DB3" i="5"/>
  <c r="DT36" i="5" s="1"/>
  <c r="EJ36" i="5" s="1"/>
  <c r="DC3" i="5"/>
  <c r="DU36" i="5" s="1"/>
  <c r="EK36" i="5" s="1"/>
  <c r="DN36" i="9"/>
  <c r="ED36" i="9" s="1"/>
  <c r="DJ36" i="9"/>
  <c r="DZ36" i="9" s="1"/>
  <c r="DO36" i="9"/>
  <c r="EE36" i="9" s="1"/>
  <c r="CT12" i="9"/>
  <c r="CX12" i="9"/>
  <c r="CU16" i="9"/>
  <c r="CV17" i="9"/>
  <c r="CZ17" i="9"/>
  <c r="DA12" i="5"/>
  <c r="DS34" i="5" s="1"/>
  <c r="EI34" i="5" s="1"/>
  <c r="CR9" i="5"/>
  <c r="CS10" i="5"/>
  <c r="CP9" i="5"/>
  <c r="DR29" i="3"/>
  <c r="EH29" i="3" s="1"/>
  <c r="CP10" i="5"/>
  <c r="CV4" i="3"/>
  <c r="CW7" i="3"/>
  <c r="CT7" i="3"/>
  <c r="CW9" i="3"/>
  <c r="DJ21" i="3"/>
  <c r="DZ21" i="3" s="1"/>
  <c r="DR21" i="3"/>
  <c r="EH21" i="3" s="1"/>
  <c r="CY10" i="3"/>
  <c r="CP15" i="5"/>
  <c r="DA4" i="3"/>
  <c r="DS29" i="3" s="1"/>
  <c r="EI29" i="3" s="1"/>
  <c r="CT5" i="3"/>
  <c r="CU5" i="3"/>
  <c r="CX10" i="3"/>
  <c r="CW11" i="3"/>
  <c r="CZ7" i="3"/>
  <c r="CU9" i="3"/>
  <c r="CP13" i="3"/>
  <c r="CX16" i="3"/>
  <c r="DI21" i="3"/>
  <c r="DY21" i="3" s="1"/>
  <c r="DQ21" i="3"/>
  <c r="EG21" i="3" s="1"/>
  <c r="AV2" i="1"/>
  <c r="BT2" i="1" s="1"/>
  <c r="CL2" i="1" s="1"/>
  <c r="DB2" i="1" s="1"/>
  <c r="DT21" i="1" s="1"/>
  <c r="EJ21" i="1" s="1"/>
  <c r="AO5" i="1"/>
  <c r="BM5" i="1" s="1"/>
  <c r="CA5" i="1" s="1"/>
  <c r="CQ5" i="1" s="1"/>
  <c r="DI29" i="1" s="1"/>
  <c r="DY29" i="1" s="1"/>
  <c r="AW11" i="1"/>
  <c r="BU11" i="1" s="1"/>
  <c r="AL12" i="1"/>
  <c r="BJ12" i="1" s="1"/>
  <c r="CE12" i="1" s="1"/>
  <c r="CU12" i="1" s="1"/>
  <c r="AF16" i="1"/>
  <c r="BD16" i="1" s="1"/>
  <c r="AL16" i="1"/>
  <c r="BJ16" i="1" s="1"/>
  <c r="AP16" i="1"/>
  <c r="BN16" i="1" s="1"/>
  <c r="AX16" i="1"/>
  <c r="BV16" i="1" s="1"/>
  <c r="BA16" i="1"/>
  <c r="AI16" i="1"/>
  <c r="BG16" i="1" s="1"/>
  <c r="AV16" i="1"/>
  <c r="BT16" i="1" s="1"/>
  <c r="AK16" i="1"/>
  <c r="BI16" i="1" s="1"/>
  <c r="BZ16" i="1" s="1"/>
  <c r="CP16" i="1" s="1"/>
  <c r="AN16" i="1"/>
  <c r="BL16" i="1" s="1"/>
  <c r="AH16" i="1"/>
  <c r="BF16" i="1" s="1"/>
  <c r="AO16" i="1"/>
  <c r="BM16" i="1" s="1"/>
  <c r="AT16" i="1"/>
  <c r="BR16" i="1" s="1"/>
  <c r="CD16" i="1" s="1"/>
  <c r="CT16" i="1" s="1"/>
  <c r="AE16" i="1"/>
  <c r="BC16" i="1" s="1"/>
  <c r="AY16" i="1"/>
  <c r="AV18" i="1"/>
  <c r="BT18" i="1" s="1"/>
  <c r="CR17" i="9"/>
  <c r="CT9" i="5"/>
  <c r="DB10" i="5"/>
  <c r="CQ13" i="5"/>
  <c r="CQ4" i="3"/>
  <c r="CP8" i="3"/>
  <c r="CR11" i="3"/>
  <c r="CP15" i="3"/>
  <c r="AY17" i="1"/>
  <c r="AK17" i="1"/>
  <c r="BI17" i="1" s="1"/>
  <c r="AS17" i="1"/>
  <c r="BQ17" i="1" s="1"/>
  <c r="AH17" i="1"/>
  <c r="BF17" i="1" s="1"/>
  <c r="AF17" i="1"/>
  <c r="BD17" i="1" s="1"/>
  <c r="AP17" i="1"/>
  <c r="BN17" i="1" s="1"/>
  <c r="AX17" i="1"/>
  <c r="BV17" i="1" s="1"/>
  <c r="AE5" i="1"/>
  <c r="BC5" i="1" s="1"/>
  <c r="AI11" i="1"/>
  <c r="BG11" i="1" s="1"/>
  <c r="CB11" i="1" s="1"/>
  <c r="CR11" i="1" s="1"/>
  <c r="AW18" i="1"/>
  <c r="BU18" i="1" s="1"/>
  <c r="AI18" i="1"/>
  <c r="BG18" i="1" s="1"/>
  <c r="AO2" i="1"/>
  <c r="BM2" i="1" s="1"/>
  <c r="CF2" i="1" s="1"/>
  <c r="CV2" i="1" s="1"/>
  <c r="DN21" i="1" s="1"/>
  <c r="ED21" i="1" s="1"/>
  <c r="AG5" i="1"/>
  <c r="BE5" i="1" s="1"/>
  <c r="AE12" i="1"/>
  <c r="BC12" i="1" s="1"/>
  <c r="CZ11" i="3"/>
  <c r="CS15" i="3"/>
  <c r="DA11" i="3"/>
  <c r="AM12" i="1"/>
  <c r="BK12" i="1" s="1"/>
  <c r="CF12" i="1" s="1"/>
  <c r="CV12" i="1" s="1"/>
  <c r="AI2" i="1"/>
  <c r="BG2" i="1" s="1"/>
  <c r="AM11" i="1"/>
  <c r="DP23" i="3"/>
  <c r="EF23" i="3" s="1"/>
  <c r="DQ23" i="3"/>
  <c r="EG23" i="3" s="1"/>
  <c r="DI23" i="3"/>
  <c r="DY23" i="3" s="1"/>
  <c r="AR11" i="1"/>
  <c r="CY15" i="3"/>
  <c r="AW2" i="1"/>
  <c r="BU2" i="1" s="1"/>
  <c r="CM2" i="1" s="1"/>
  <c r="DC2" i="1" s="1"/>
  <c r="DU21" i="1" s="1"/>
  <c r="EK21" i="1" s="1"/>
  <c r="AI5" i="1"/>
  <c r="BG5" i="1" s="1"/>
  <c r="AV17" i="1"/>
  <c r="BT17" i="1" s="1"/>
  <c r="B30" i="5"/>
  <c r="C13" i="10"/>
  <c r="DI29" i="9"/>
  <c r="DY29" i="9" s="1"/>
  <c r="DK29" i="9"/>
  <c r="EA29" i="9" s="1"/>
  <c r="DM29" i="9"/>
  <c r="EC29" i="9" s="1"/>
  <c r="DO29" i="9"/>
  <c r="EE29" i="9" s="1"/>
  <c r="DQ29" i="9"/>
  <c r="EG29" i="9" s="1"/>
  <c r="DS29" i="9"/>
  <c r="EI29" i="9" s="1"/>
  <c r="DU29" i="9"/>
  <c r="EK29" i="9" s="1"/>
  <c r="DW29" i="9"/>
  <c r="DH29" i="9"/>
  <c r="DX29" i="9" s="1"/>
  <c r="DN29" i="9"/>
  <c r="ED29" i="9" s="1"/>
  <c r="DP29" i="9"/>
  <c r="EF29" i="9" s="1"/>
  <c r="DR29" i="9"/>
  <c r="EH29" i="9" s="1"/>
  <c r="DT29" i="9"/>
  <c r="EJ29" i="9" s="1"/>
  <c r="DV29" i="9"/>
  <c r="EL29" i="9" s="1"/>
  <c r="DW28" i="9"/>
  <c r="DH28" i="9"/>
  <c r="DX28" i="9" s="1"/>
  <c r="DJ28" i="9"/>
  <c r="DZ28" i="9" s="1"/>
  <c r="DL28" i="9"/>
  <c r="EB28" i="9" s="1"/>
  <c r="DN28" i="9"/>
  <c r="ED28" i="9" s="1"/>
  <c r="DP28" i="9"/>
  <c r="EF28" i="9" s="1"/>
  <c r="DR28" i="9"/>
  <c r="EH28" i="9" s="1"/>
  <c r="DT28" i="9"/>
  <c r="EJ28" i="9" s="1"/>
  <c r="DV28" i="9"/>
  <c r="EL28" i="9" s="1"/>
  <c r="C12" i="10"/>
  <c r="DI28" i="9"/>
  <c r="DY28" i="9" s="1"/>
  <c r="DK28" i="9"/>
  <c r="EA28" i="9" s="1"/>
  <c r="DM28" i="9"/>
  <c r="EC28" i="9" s="1"/>
  <c r="DO28" i="9"/>
  <c r="EE28" i="9" s="1"/>
  <c r="DQ28" i="9"/>
  <c r="EG28" i="9" s="1"/>
  <c r="DS28" i="9"/>
  <c r="EI28" i="9" s="1"/>
  <c r="DU28" i="9"/>
  <c r="EK28" i="9" s="1"/>
  <c r="DC10" i="5"/>
  <c r="DV36" i="9"/>
  <c r="EL36" i="9" s="1"/>
  <c r="DT36" i="9"/>
  <c r="EJ36" i="9" s="1"/>
  <c r="DH36" i="9"/>
  <c r="DX36" i="9" s="1"/>
  <c r="DM36" i="9"/>
  <c r="EC36" i="9" s="1"/>
  <c r="CU12" i="9"/>
  <c r="CY12" i="9"/>
  <c r="DC16" i="9"/>
  <c r="DA16" i="9"/>
  <c r="DB16" i="9"/>
  <c r="CV16" i="9"/>
  <c r="CS16" i="9"/>
  <c r="EM36" i="5"/>
  <c r="F20" i="7" s="1"/>
  <c r="E20" i="7" s="1"/>
  <c r="G20" i="7" s="1"/>
  <c r="CU9" i="5"/>
  <c r="CZ10" i="5"/>
  <c r="CQ9" i="5"/>
  <c r="DI29" i="3"/>
  <c r="DY29" i="3" s="1"/>
  <c r="CS9" i="5"/>
  <c r="CQ10" i="5"/>
  <c r="DA9" i="3"/>
  <c r="DL21" i="3"/>
  <c r="EB21" i="3" s="1"/>
  <c r="DT21" i="3"/>
  <c r="EJ21" i="3" s="1"/>
  <c r="CZ13" i="5"/>
  <c r="CV15" i="5"/>
  <c r="CV5" i="3"/>
  <c r="CQ8" i="3"/>
  <c r="CQ10" i="3"/>
  <c r="DB7" i="3"/>
  <c r="CW10" i="3"/>
  <c r="DK21" i="3"/>
  <c r="EA21" i="3" s="1"/>
  <c r="DS21" i="3"/>
  <c r="EI21" i="3" s="1"/>
  <c r="CZ13" i="3"/>
  <c r="AJ2" i="1"/>
  <c r="BH2" i="1" s="1"/>
  <c r="CA2" i="1" s="1"/>
  <c r="CQ2" i="1" s="1"/>
  <c r="DI21" i="1" s="1"/>
  <c r="DY21" i="1" s="1"/>
  <c r="AU2" i="1"/>
  <c r="BS2" i="1" s="1"/>
  <c r="AH2" i="1"/>
  <c r="BF2" i="1" s="1"/>
  <c r="AF2" i="1"/>
  <c r="BD2" i="1" s="1"/>
  <c r="AY2" i="1"/>
  <c r="BW2" i="1" s="1"/>
  <c r="AK2" i="1"/>
  <c r="BI2" i="1" s="1"/>
  <c r="CB2" i="1" s="1"/>
  <c r="CR2" i="1" s="1"/>
  <c r="DJ21" i="1" s="1"/>
  <c r="DZ21" i="1" s="1"/>
  <c r="AS2" i="1"/>
  <c r="BQ2" i="1" s="1"/>
  <c r="CJ2" i="1" s="1"/>
  <c r="CZ2" i="1" s="1"/>
  <c r="DR21" i="1" s="1"/>
  <c r="EH21" i="1" s="1"/>
  <c r="BA2" i="1"/>
  <c r="BY2" i="1" s="1"/>
  <c r="AZ2" i="1"/>
  <c r="BX2" i="1" s="1"/>
  <c r="AH11" i="1"/>
  <c r="BF11" i="1" s="1"/>
  <c r="CA11" i="1" s="1"/>
  <c r="CQ11" i="1" s="1"/>
  <c r="AX11" i="1"/>
  <c r="BV11" i="1" s="1"/>
  <c r="AK11" i="1"/>
  <c r="BI11" i="1" s="1"/>
  <c r="AZ11" i="1"/>
  <c r="AF11" i="1"/>
  <c r="BD11" i="1" s="1"/>
  <c r="AJ11" i="1"/>
  <c r="BH11" i="1" s="1"/>
  <c r="AT11" i="1"/>
  <c r="BR11" i="1" s="1"/>
  <c r="BA11" i="1"/>
  <c r="AH18" i="1"/>
  <c r="BF18" i="1" s="1"/>
  <c r="AM18" i="1"/>
  <c r="BK18" i="1" s="1"/>
  <c r="BA18" i="1"/>
  <c r="AJ18" i="1"/>
  <c r="BH18" i="1" s="1"/>
  <c r="AP18" i="1"/>
  <c r="BN18" i="1" s="1"/>
  <c r="AU18" i="1"/>
  <c r="BS18" i="1" s="1"/>
  <c r="AZ18" i="1"/>
  <c r="CX9" i="5"/>
  <c r="CR10" i="5"/>
  <c r="DC13" i="5"/>
  <c r="CP4" i="3"/>
  <c r="DH29" i="3" s="1"/>
  <c r="DX29" i="3" s="1"/>
  <c r="CU4" i="3"/>
  <c r="DM29" i="3" s="1"/>
  <c r="EC29" i="3" s="1"/>
  <c r="CP7" i="3"/>
  <c r="DH23" i="3" s="1"/>
  <c r="DX23" i="3" s="1"/>
  <c r="CQ11" i="3"/>
  <c r="CU13" i="3"/>
  <c r="CQ15" i="3"/>
  <c r="AT2" i="1"/>
  <c r="BR2" i="1" s="1"/>
  <c r="CK2" i="1" s="1"/>
  <c r="DA2" i="1" s="1"/>
  <c r="DS21" i="1" s="1"/>
  <c r="EI21" i="1" s="1"/>
  <c r="AI17" i="1"/>
  <c r="BG17" i="1" s="1"/>
  <c r="BZ17" i="1" s="1"/>
  <c r="CP17" i="1" s="1"/>
  <c r="AK5" i="1"/>
  <c r="BI5" i="1" s="1"/>
  <c r="AO11" i="1"/>
  <c r="BM11" i="1" s="1"/>
  <c r="CE11" i="1" s="1"/>
  <c r="CU11" i="1" s="1"/>
  <c r="AN17" i="1"/>
  <c r="BL17" i="1" s="1"/>
  <c r="Q1" i="11"/>
  <c r="AT18" i="1"/>
  <c r="BR18" i="1" s="1"/>
  <c r="CV3" i="3"/>
  <c r="AX2" i="1"/>
  <c r="BV2" i="1" s="1"/>
  <c r="CN2" i="1" s="1"/>
  <c r="DD2" i="1" s="1"/>
  <c r="DV21" i="1" s="1"/>
  <c r="EL21" i="1" s="1"/>
  <c r="AR5" i="1"/>
  <c r="BP5" i="1" s="1"/>
  <c r="CC5" i="1" s="1"/>
  <c r="CS5" i="1" s="1"/>
  <c r="DK29" i="1" s="1"/>
  <c r="EA29" i="1" s="1"/>
  <c r="AK12" i="1"/>
  <c r="BI12" i="1" s="1"/>
  <c r="CD12" i="1" s="1"/>
  <c r="CT12" i="1" s="1"/>
  <c r="AJ17" i="1"/>
  <c r="BH17" i="1" s="1"/>
  <c r="CA17" i="1" s="1"/>
  <c r="CQ17" i="1" s="1"/>
  <c r="AE17" i="1"/>
  <c r="BC17" i="1" s="1"/>
  <c r="AQ18" i="1"/>
  <c r="BO18" i="1" s="1"/>
  <c r="CR3" i="3"/>
  <c r="CU11" i="3"/>
  <c r="CZ15" i="3"/>
  <c r="AM5" i="1"/>
  <c r="BK5" i="1" s="1"/>
  <c r="AY11" i="1"/>
  <c r="CT17" i="1"/>
  <c r="CX17" i="1"/>
  <c r="CR17" i="1"/>
  <c r="CW17" i="1"/>
  <c r="CS17" i="1"/>
  <c r="CY17" i="1"/>
  <c r="CU17" i="1"/>
  <c r="CV17" i="1"/>
  <c r="AS11" i="1"/>
  <c r="AS16" i="1"/>
  <c r="BQ16" i="1" s="1"/>
  <c r="N1" i="11"/>
  <c r="CW15" i="3"/>
  <c r="DO23" i="3"/>
  <c r="EE23" i="3" s="1"/>
  <c r="AE11" i="1"/>
  <c r="CX13" i="3"/>
  <c r="AU11" i="1"/>
  <c r="BS11" i="1" s="1"/>
  <c r="AZ16" i="1"/>
  <c r="AT12" i="1"/>
  <c r="BR12" i="1" s="1"/>
  <c r="AG16" i="1"/>
  <c r="BE16" i="1" s="1"/>
  <c r="AR16" i="1"/>
  <c r="BP16" i="1" s="1"/>
  <c r="CC16" i="1" s="1"/>
  <c r="CS16" i="1" s="1"/>
  <c r="AF18" i="1"/>
  <c r="BD18" i="1" s="1"/>
  <c r="BZ18" i="1" s="1"/>
  <c r="CP18" i="1" s="1"/>
  <c r="DW28" i="3"/>
  <c r="C12" i="4"/>
  <c r="DJ28" i="3"/>
  <c r="DZ28" i="3" s="1"/>
  <c r="DL28" i="3"/>
  <c r="EB28" i="3" s="1"/>
  <c r="DN28" i="3"/>
  <c r="ED28" i="3" s="1"/>
  <c r="DP28" i="3"/>
  <c r="EF28" i="3" s="1"/>
  <c r="DR28" i="3"/>
  <c r="EH28" i="3" s="1"/>
  <c r="DT28" i="3"/>
  <c r="EJ28" i="3" s="1"/>
  <c r="DV28" i="3"/>
  <c r="EL28" i="3" s="1"/>
  <c r="DI28" i="3"/>
  <c r="DY28" i="3" s="1"/>
  <c r="DK28" i="3"/>
  <c r="EA28" i="3" s="1"/>
  <c r="DM28" i="3"/>
  <c r="EC28" i="3" s="1"/>
  <c r="DQ28" i="3"/>
  <c r="EG28" i="3" s="1"/>
  <c r="DS28" i="3"/>
  <c r="EI28" i="3" s="1"/>
  <c r="DU28" i="3"/>
  <c r="EK28" i="3" s="1"/>
  <c r="B24" i="5"/>
  <c r="C6" i="7"/>
  <c r="DI22" i="5"/>
  <c r="DY22" i="5" s="1"/>
  <c r="DK22" i="5"/>
  <c r="EA22" i="5" s="1"/>
  <c r="DM22" i="5"/>
  <c r="EC22" i="5" s="1"/>
  <c r="DO22" i="5"/>
  <c r="EE22" i="5" s="1"/>
  <c r="DQ22" i="5"/>
  <c r="EG22" i="5" s="1"/>
  <c r="DS22" i="5"/>
  <c r="EI22" i="5" s="1"/>
  <c r="DU22" i="5"/>
  <c r="EK22" i="5" s="1"/>
  <c r="DW22" i="5"/>
  <c r="DH22" i="5"/>
  <c r="DX22" i="5" s="1"/>
  <c r="DJ22" i="5"/>
  <c r="DZ22" i="5" s="1"/>
  <c r="DL22" i="5"/>
  <c r="EB22" i="5" s="1"/>
  <c r="DN22" i="5"/>
  <c r="ED22" i="5" s="1"/>
  <c r="DP22" i="5"/>
  <c r="EF22" i="5" s="1"/>
  <c r="DR22" i="5"/>
  <c r="EH22" i="5" s="1"/>
  <c r="DT22" i="5"/>
  <c r="EJ22" i="5" s="1"/>
  <c r="DV22" i="5"/>
  <c r="EL22" i="5" s="1"/>
  <c r="C12" i="2"/>
  <c r="DI28" i="1"/>
  <c r="DY28" i="1" s="1"/>
  <c r="DK28" i="1"/>
  <c r="EA28" i="1" s="1"/>
  <c r="DM28" i="1"/>
  <c r="EC28" i="1" s="1"/>
  <c r="DO28" i="1"/>
  <c r="EE28" i="1" s="1"/>
  <c r="DQ28" i="1"/>
  <c r="EG28" i="1" s="1"/>
  <c r="DS28" i="1"/>
  <c r="EI28" i="1" s="1"/>
  <c r="DU28" i="1"/>
  <c r="EK28" i="1" s="1"/>
  <c r="DW28" i="1"/>
  <c r="DL28" i="1"/>
  <c r="EB28" i="1" s="1"/>
  <c r="DN28" i="1"/>
  <c r="ED28" i="1" s="1"/>
  <c r="DT28" i="1"/>
  <c r="EJ28" i="1" s="1"/>
  <c r="DH28" i="1"/>
  <c r="DX28" i="1" s="1"/>
  <c r="DP28" i="1"/>
  <c r="EF28" i="1" s="1"/>
  <c r="DJ28" i="1"/>
  <c r="DZ28" i="1" s="1"/>
  <c r="DR28" i="1"/>
  <c r="EH28" i="1" s="1"/>
  <c r="DV28" i="1"/>
  <c r="EL28" i="1" s="1"/>
  <c r="B24" i="3"/>
  <c r="B26" i="3"/>
  <c r="B22" i="3"/>
  <c r="B27" i="3"/>
  <c r="B25" i="3"/>
  <c r="B30" i="3"/>
  <c r="B35" i="3"/>
  <c r="B31" i="3"/>
  <c r="B33" i="3"/>
  <c r="B32" i="3"/>
  <c r="B34" i="3"/>
  <c r="B29" i="5"/>
  <c r="B13" i="7"/>
  <c r="B33" i="5"/>
  <c r="B35" i="5"/>
  <c r="B27" i="9"/>
  <c r="B30" i="9"/>
  <c r="B23" i="9"/>
  <c r="B25" i="9"/>
  <c r="B35" i="9"/>
  <c r="B24" i="9"/>
  <c r="B26" i="9"/>
  <c r="B31" i="9"/>
  <c r="B33" i="9"/>
  <c r="B22" i="9"/>
  <c r="B32" i="9"/>
  <c r="B34" i="9"/>
  <c r="EM21" i="9"/>
  <c r="F5" i="10" s="1"/>
  <c r="E5" i="10" s="1"/>
  <c r="G5" i="10" s="1"/>
  <c r="CZ9" i="5"/>
  <c r="DK36" i="9"/>
  <c r="EA36" i="9" s="1"/>
  <c r="DR36" i="9"/>
  <c r="EH36" i="9" s="1"/>
  <c r="DU36" i="9"/>
  <c r="EK36" i="9" s="1"/>
  <c r="DS36" i="9"/>
  <c r="EI36" i="9" s="1"/>
  <c r="CR12" i="9"/>
  <c r="CV12" i="9"/>
  <c r="CZ12" i="9"/>
  <c r="CQ13" i="9"/>
  <c r="CR13" i="9"/>
  <c r="CW16" i="9"/>
  <c r="CT17" i="9"/>
  <c r="CX17" i="9"/>
  <c r="CX10" i="5"/>
  <c r="CT16" i="9"/>
  <c r="CY9" i="5"/>
  <c r="CQ12" i="5"/>
  <c r="DI34" i="5" s="1"/>
  <c r="DY34" i="5" s="1"/>
  <c r="CQ16" i="9"/>
  <c r="CT10" i="5"/>
  <c r="DV29" i="3"/>
  <c r="EL29" i="3" s="1"/>
  <c r="DN29" i="3"/>
  <c r="ED29" i="3" s="1"/>
  <c r="CQ17" i="9"/>
  <c r="CW9" i="5"/>
  <c r="CV10" i="5"/>
  <c r="DC12" i="5"/>
  <c r="DU34" i="5" s="1"/>
  <c r="EK34" i="5" s="1"/>
  <c r="CX12" i="5"/>
  <c r="DP34" i="5" s="1"/>
  <c r="EF34" i="5" s="1"/>
  <c r="CR15" i="5"/>
  <c r="CT18" i="5"/>
  <c r="CV18" i="5"/>
  <c r="CT3" i="3"/>
  <c r="CU3" i="3"/>
  <c r="DN21" i="3"/>
  <c r="ED21" i="3" s="1"/>
  <c r="DV21" i="3"/>
  <c r="EL21" i="3" s="1"/>
  <c r="CV13" i="5"/>
  <c r="CY15" i="5"/>
  <c r="CP5" i="3"/>
  <c r="DH28" i="3" s="1"/>
  <c r="DX28" i="3" s="1"/>
  <c r="CU8" i="3"/>
  <c r="CV10" i="3"/>
  <c r="CU10" i="3"/>
  <c r="CR7" i="3"/>
  <c r="CT10" i="3"/>
  <c r="DM21" i="3"/>
  <c r="EC21" i="3" s="1"/>
  <c r="DU21" i="3"/>
  <c r="EK21" i="3" s="1"/>
  <c r="AN2" i="1"/>
  <c r="BL2" i="1" s="1"/>
  <c r="CE2" i="1" s="1"/>
  <c r="CU2" i="1" s="1"/>
  <c r="DM21" i="1" s="1"/>
  <c r="EC21" i="1" s="1"/>
  <c r="AN5" i="1"/>
  <c r="BL5" i="1" s="1"/>
  <c r="BZ5" i="1" s="1"/>
  <c r="CP5" i="1" s="1"/>
  <c r="DH29" i="1" s="1"/>
  <c r="DX29" i="1" s="1"/>
  <c r="AL5" i="1"/>
  <c r="BJ5" i="1" s="1"/>
  <c r="AY5" i="1"/>
  <c r="AF5" i="1"/>
  <c r="BD5" i="1" s="1"/>
  <c r="AP5" i="1"/>
  <c r="BN5" i="1" s="1"/>
  <c r="AH5" i="1"/>
  <c r="BF5" i="1" s="1"/>
  <c r="AZ5" i="1"/>
  <c r="AW5" i="1"/>
  <c r="BU5" i="1" s="1"/>
  <c r="CG5" i="1" s="1"/>
  <c r="CW5" i="1" s="1"/>
  <c r="DO29" i="1" s="1"/>
  <c r="EE29" i="1" s="1"/>
  <c r="AL11" i="1"/>
  <c r="BJ11" i="1" s="1"/>
  <c r="CC11" i="1" s="1"/>
  <c r="CS11" i="1" s="1"/>
  <c r="CW11" i="1"/>
  <c r="CY11" i="1"/>
  <c r="AU12" i="1"/>
  <c r="BS12" i="1" s="1"/>
  <c r="AQ16" i="1"/>
  <c r="BO16" i="1" s="1"/>
  <c r="CB16" i="1" s="1"/>
  <c r="CR16" i="1" s="1"/>
  <c r="AN18" i="1"/>
  <c r="BL18" i="1" s="1"/>
  <c r="DB9" i="5"/>
  <c r="CY10" i="5"/>
  <c r="CX13" i="5"/>
  <c r="CS4" i="3"/>
  <c r="DK29" i="3" s="1"/>
  <c r="EA29" i="3" s="1"/>
  <c r="CY4" i="3"/>
  <c r="DQ29" i="3" s="1"/>
  <c r="EG29" i="3" s="1"/>
  <c r="CY11" i="3"/>
  <c r="CV13" i="3"/>
  <c r="CU15" i="3"/>
  <c r="AP2" i="1"/>
  <c r="BN2" i="1" s="1"/>
  <c r="CG2" i="1" s="1"/>
  <c r="CW2" i="1" s="1"/>
  <c r="DO21" i="1" s="1"/>
  <c r="EE21" i="1" s="1"/>
  <c r="AQ17" i="1"/>
  <c r="BO17" i="1" s="1"/>
  <c r="AQ5" i="1"/>
  <c r="BO5" i="1" s="1"/>
  <c r="CB5" i="1" s="1"/>
  <c r="CR5" i="1" s="1"/>
  <c r="DJ29" i="1" s="1"/>
  <c r="DZ29" i="1" s="1"/>
  <c r="AG11" i="1"/>
  <c r="BE11" i="1" s="1"/>
  <c r="BZ11" i="1" s="1"/>
  <c r="CP11" i="1" s="1"/>
  <c r="AE18" i="1"/>
  <c r="BC18" i="1" s="1"/>
  <c r="M1" i="11"/>
  <c r="AL17" i="1"/>
  <c r="BJ17" i="1" s="1"/>
  <c r="AY18" i="1"/>
  <c r="CT13" i="3"/>
  <c r="CV11" i="1"/>
  <c r="DB15" i="3"/>
  <c r="AX5" i="1"/>
  <c r="BV5" i="1" s="1"/>
  <c r="CH5" i="1" s="1"/>
  <c r="CX5" i="1" s="1"/>
  <c r="DP29" i="1" s="1"/>
  <c r="EF29" i="1" s="1"/>
  <c r="EM36" i="1"/>
  <c r="F20" i="2" s="1"/>
  <c r="E20" i="2" s="1"/>
  <c r="G20" i="2" s="1"/>
  <c r="AO17" i="1"/>
  <c r="BM17" i="1" s="1"/>
  <c r="CR10" i="3"/>
  <c r="CY13" i="3"/>
  <c r="DD7" i="3"/>
  <c r="DV23" i="3" s="1"/>
  <c r="EL23" i="3" s="1"/>
  <c r="AT5" i="1"/>
  <c r="BR5" i="1" s="1"/>
  <c r="CE5" i="1" s="1"/>
  <c r="CU5" i="1" s="1"/>
  <c r="DM29" i="1" s="1"/>
  <c r="EC29" i="1" s="1"/>
  <c r="AN12" i="1"/>
  <c r="BL12" i="1" s="1"/>
  <c r="CG12" i="1" s="1"/>
  <c r="CW12" i="1" s="1"/>
  <c r="AV11" i="1"/>
  <c r="BT11" i="1" s="1"/>
  <c r="AO18" i="1"/>
  <c r="BM18" i="1" s="1"/>
  <c r="DT23" i="3"/>
  <c r="EJ23" i="3" s="1"/>
  <c r="DL23" i="3"/>
  <c r="EB23" i="3" s="1"/>
  <c r="DU23" i="3"/>
  <c r="EK23" i="3" s="1"/>
  <c r="DM23" i="3"/>
  <c r="EC23" i="3" s="1"/>
  <c r="CX11" i="1"/>
  <c r="BA17" i="1"/>
  <c r="AJ16" i="1"/>
  <c r="BH16" i="1" s="1"/>
  <c r="AW16" i="1"/>
  <c r="BU16" i="1" s="1"/>
  <c r="AK18" i="1"/>
  <c r="BI18" i="1" s="1"/>
  <c r="AR17" i="1"/>
  <c r="BP17" i="1" s="1"/>
  <c r="B31" i="5"/>
  <c r="CR4" i="9"/>
  <c r="DJ29" i="9" s="1"/>
  <c r="DZ29" i="9" s="1"/>
  <c r="CT4" i="9"/>
  <c r="DL29" i="9" s="1"/>
  <c r="EB29" i="9" s="1"/>
  <c r="DB12" i="9"/>
  <c r="DC12" i="9"/>
  <c r="DA2" i="5"/>
  <c r="DS21" i="5" s="1"/>
  <c r="EI21" i="5" s="1"/>
  <c r="DB2" i="5"/>
  <c r="DT21" i="5" s="1"/>
  <c r="EJ21" i="5" s="1"/>
  <c r="DI36" i="9"/>
  <c r="DY36" i="9" s="1"/>
  <c r="DP36" i="9"/>
  <c r="EF36" i="9" s="1"/>
  <c r="DL36" i="9"/>
  <c r="EB36" i="9" s="1"/>
  <c r="CS12" i="9"/>
  <c r="CW12" i="9"/>
  <c r="DA12" i="9"/>
  <c r="CX16" i="9"/>
  <c r="CT18" i="9"/>
  <c r="CV18" i="9"/>
  <c r="CZ16" i="9"/>
  <c r="DC9" i="5"/>
  <c r="DA10" i="5"/>
  <c r="CP12" i="9"/>
  <c r="CU10" i="5"/>
  <c r="EM21" i="5"/>
  <c r="F5" i="7" s="1"/>
  <c r="E5" i="7" s="1"/>
  <c r="G5" i="7" s="1"/>
  <c r="DP21" i="3"/>
  <c r="EF21" i="3" s="1"/>
  <c r="C20" i="4"/>
  <c r="DI36" i="3"/>
  <c r="DY36" i="3" s="1"/>
  <c r="DK36" i="3"/>
  <c r="EA36" i="3" s="1"/>
  <c r="DM36" i="3"/>
  <c r="EC36" i="3" s="1"/>
  <c r="DO36" i="3"/>
  <c r="EE36" i="3" s="1"/>
  <c r="DQ36" i="3"/>
  <c r="EG36" i="3" s="1"/>
  <c r="DS36" i="3"/>
  <c r="EI36" i="3" s="1"/>
  <c r="DU36" i="3"/>
  <c r="EK36" i="3" s="1"/>
  <c r="DW36" i="3"/>
  <c r="DJ36" i="3"/>
  <c r="DZ36" i="3" s="1"/>
  <c r="DR36" i="3"/>
  <c r="EH36" i="3" s="1"/>
  <c r="DL36" i="3"/>
  <c r="EB36" i="3" s="1"/>
  <c r="DT36" i="3"/>
  <c r="EJ36" i="3" s="1"/>
  <c r="DN36" i="3"/>
  <c r="ED36" i="3" s="1"/>
  <c r="DV36" i="3"/>
  <c r="EL36" i="3" s="1"/>
  <c r="DH36" i="3"/>
  <c r="DX36" i="3" s="1"/>
  <c r="DP36" i="3"/>
  <c r="EF36" i="3" s="1"/>
  <c r="DA13" i="5"/>
  <c r="CR13" i="5"/>
  <c r="CW15" i="5"/>
  <c r="CW4" i="3"/>
  <c r="DO29" i="3" s="1"/>
  <c r="EE29" i="3" s="1"/>
  <c r="CW5" i="3"/>
  <c r="DO28" i="3" s="1"/>
  <c r="EE28" i="3" s="1"/>
  <c r="CP10" i="3"/>
  <c r="CV7" i="3"/>
  <c r="DN23" i="3" s="1"/>
  <c r="ED23" i="3" s="1"/>
  <c r="CQ9" i="3"/>
  <c r="CR13" i="3"/>
  <c r="CQ13" i="3"/>
  <c r="DO21" i="3"/>
  <c r="EE21" i="3" s="1"/>
  <c r="AD1" i="4"/>
  <c r="AH1" i="4"/>
  <c r="AK1" i="4"/>
  <c r="AM1" i="4"/>
  <c r="AE1" i="4"/>
  <c r="AI1" i="4"/>
  <c r="AF1" i="4"/>
  <c r="AL1" i="4"/>
  <c r="AN1" i="4"/>
  <c r="AG1" i="4"/>
  <c r="AJ1" i="4"/>
  <c r="AC1" i="4"/>
  <c r="DB11" i="3"/>
  <c r="AR2" i="1"/>
  <c r="BP2" i="1" s="1"/>
  <c r="CI2" i="1" s="1"/>
  <c r="CY2" i="1" s="1"/>
  <c r="DQ21" i="1" s="1"/>
  <c r="EG21" i="1" s="1"/>
  <c r="AJ5" i="1"/>
  <c r="BH5" i="1" s="1"/>
  <c r="BA5" i="1"/>
  <c r="AQ11" i="1"/>
  <c r="BO11" i="1" s="1"/>
  <c r="AH12" i="1"/>
  <c r="BF12" i="1" s="1"/>
  <c r="CA12" i="1" s="1"/>
  <c r="CQ12" i="1" s="1"/>
  <c r="AQ12" i="1"/>
  <c r="AX12" i="1"/>
  <c r="BV12" i="1" s="1"/>
  <c r="AF12" i="1"/>
  <c r="BD12" i="1" s="1"/>
  <c r="BA12" i="1"/>
  <c r="AG12" i="1"/>
  <c r="BE12" i="1" s="1"/>
  <c r="BZ12" i="1" s="1"/>
  <c r="CP12" i="1" s="1"/>
  <c r="AR12" i="1"/>
  <c r="BP12" i="1" s="1"/>
  <c r="AW12" i="1"/>
  <c r="BU12" i="1" s="1"/>
  <c r="AS12" i="1"/>
  <c r="BQ12" i="1" s="1"/>
  <c r="AV12" i="1"/>
  <c r="BT12" i="1" s="1"/>
  <c r="AY12" i="1"/>
  <c r="AU16" i="1"/>
  <c r="BS16" i="1" s="1"/>
  <c r="AR18" i="1"/>
  <c r="BP18" i="1" s="1"/>
  <c r="CY16" i="9"/>
  <c r="CZ12" i="5"/>
  <c r="DR34" i="5" s="1"/>
  <c r="EH34" i="5" s="1"/>
  <c r="CR4" i="3"/>
  <c r="DJ29" i="3" s="1"/>
  <c r="DZ29" i="3" s="1"/>
  <c r="CT4" i="3"/>
  <c r="DL29" i="3" s="1"/>
  <c r="EB29" i="3" s="1"/>
  <c r="DC4" i="3"/>
  <c r="DU29" i="3" s="1"/>
  <c r="EK29" i="3" s="1"/>
  <c r="CX11" i="3"/>
  <c r="CS13" i="3"/>
  <c r="AL2" i="1"/>
  <c r="BJ2" i="1" s="1"/>
  <c r="CC2" i="1" s="1"/>
  <c r="CS2" i="1" s="1"/>
  <c r="DK21" i="1" s="1"/>
  <c r="EA21" i="1" s="1"/>
  <c r="AM17" i="1"/>
  <c r="BK17" i="1" s="1"/>
  <c r="DC11" i="3"/>
  <c r="AV5" i="1"/>
  <c r="BT5" i="1" s="1"/>
  <c r="CF5" i="1" s="1"/>
  <c r="CV5" i="1" s="1"/>
  <c r="DN29" i="1" s="1"/>
  <c r="ED29" i="1" s="1"/>
  <c r="AO12" i="1"/>
  <c r="BM12" i="1" s="1"/>
  <c r="AS18" i="1"/>
  <c r="BQ18" i="1" s="1"/>
  <c r="I1" i="11"/>
  <c r="AW17" i="1"/>
  <c r="BU17" i="1" s="1"/>
  <c r="CV11" i="3"/>
  <c r="DH21" i="3"/>
  <c r="DX21" i="3" s="1"/>
  <c r="EM21" i="3" s="1"/>
  <c r="F5" i="4" s="1"/>
  <c r="E5" i="4" s="1"/>
  <c r="G5" i="4" s="1"/>
  <c r="AP11" i="1"/>
  <c r="BN11" i="1" s="1"/>
  <c r="AT17" i="1"/>
  <c r="BR17" i="1" s="1"/>
  <c r="AG2" i="1"/>
  <c r="BE2" i="1" s="1"/>
  <c r="BZ2" i="1" s="1"/>
  <c r="CP2" i="1" s="1"/>
  <c r="DH21" i="1" s="1"/>
  <c r="DX21" i="1" s="1"/>
  <c r="AJ12" i="1"/>
  <c r="BH12" i="1" s="1"/>
  <c r="CC12" i="1" s="1"/>
  <c r="CS12" i="1" s="1"/>
  <c r="AE2" i="1"/>
  <c r="BC2" i="1" s="1"/>
  <c r="AZ17" i="1"/>
  <c r="DR23" i="3"/>
  <c r="EH23" i="3" s="1"/>
  <c r="DJ23" i="3"/>
  <c r="DZ23" i="3" s="1"/>
  <c r="DS23" i="3"/>
  <c r="EI23" i="3" s="1"/>
  <c r="AZ12" i="1"/>
  <c r="AX18" i="1"/>
  <c r="BV18" i="1" s="1"/>
  <c r="AM2" i="1"/>
  <c r="BK2" i="1" s="1"/>
  <c r="CD2" i="1" s="1"/>
  <c r="CT2" i="1" s="1"/>
  <c r="DL21" i="1" s="1"/>
  <c r="EB21" i="1" s="1"/>
  <c r="AG17" i="1"/>
  <c r="BE17" i="1" s="1"/>
  <c r="AG18" i="1"/>
  <c r="BE18" i="1" s="1"/>
  <c r="DO25" i="5" l="1"/>
  <c r="EE25" i="5" s="1"/>
  <c r="C9" i="7"/>
  <c r="DP25" i="5"/>
  <c r="EF25" i="5" s="1"/>
  <c r="DH25" i="5"/>
  <c r="DX25" i="5" s="1"/>
  <c r="EM25" i="5" s="1"/>
  <c r="F9" i="7" s="1"/>
  <c r="E9" i="7" s="1"/>
  <c r="G9" i="7" s="1"/>
  <c r="DU25" i="5"/>
  <c r="EK25" i="5" s="1"/>
  <c r="DM25" i="5"/>
  <c r="EC25" i="5" s="1"/>
  <c r="DV25" i="5"/>
  <c r="EL25" i="5" s="1"/>
  <c r="DN25" i="5"/>
  <c r="ED25" i="5" s="1"/>
  <c r="DW25" i="5"/>
  <c r="DS25" i="5"/>
  <c r="EI25" i="5" s="1"/>
  <c r="DK25" i="5"/>
  <c r="EA25" i="5" s="1"/>
  <c r="DT25" i="5"/>
  <c r="EJ25" i="5" s="1"/>
  <c r="EM29" i="1"/>
  <c r="EM28" i="3"/>
  <c r="EM23" i="3"/>
  <c r="F7" i="4" s="1"/>
  <c r="E7" i="4" s="1"/>
  <c r="G7" i="4" s="1"/>
  <c r="C18" i="10"/>
  <c r="DI34" i="9"/>
  <c r="DY34" i="9" s="1"/>
  <c r="DK34" i="9"/>
  <c r="EA34" i="9" s="1"/>
  <c r="DM34" i="9"/>
  <c r="EC34" i="9" s="1"/>
  <c r="DO34" i="9"/>
  <c r="EE34" i="9" s="1"/>
  <c r="DQ34" i="9"/>
  <c r="EG34" i="9" s="1"/>
  <c r="DS34" i="9"/>
  <c r="EI34" i="9" s="1"/>
  <c r="DU34" i="9"/>
  <c r="EK34" i="9" s="1"/>
  <c r="DW34" i="9"/>
  <c r="DH34" i="9"/>
  <c r="DX34" i="9" s="1"/>
  <c r="DJ34" i="9"/>
  <c r="DZ34" i="9" s="1"/>
  <c r="DL34" i="9"/>
  <c r="EB34" i="9" s="1"/>
  <c r="DN34" i="9"/>
  <c r="ED34" i="9" s="1"/>
  <c r="DP34" i="9"/>
  <c r="EF34" i="9" s="1"/>
  <c r="DR34" i="9"/>
  <c r="EH34" i="9" s="1"/>
  <c r="DT34" i="9"/>
  <c r="EJ34" i="9" s="1"/>
  <c r="DV34" i="9"/>
  <c r="EL34" i="9" s="1"/>
  <c r="DW31" i="9"/>
  <c r="DH31" i="9"/>
  <c r="DX31" i="9" s="1"/>
  <c r="DJ31" i="9"/>
  <c r="DZ31" i="9" s="1"/>
  <c r="DL31" i="9"/>
  <c r="EB31" i="9" s="1"/>
  <c r="DN31" i="9"/>
  <c r="ED31" i="9" s="1"/>
  <c r="DP31" i="9"/>
  <c r="EF31" i="9" s="1"/>
  <c r="DR31" i="9"/>
  <c r="EH31" i="9" s="1"/>
  <c r="DT31" i="9"/>
  <c r="EJ31" i="9" s="1"/>
  <c r="DV31" i="9"/>
  <c r="EL31" i="9" s="1"/>
  <c r="C15" i="10"/>
  <c r="DI31" i="9"/>
  <c r="DY31" i="9" s="1"/>
  <c r="DK31" i="9"/>
  <c r="EA31" i="9" s="1"/>
  <c r="DM31" i="9"/>
  <c r="EC31" i="9" s="1"/>
  <c r="DO31" i="9"/>
  <c r="EE31" i="9" s="1"/>
  <c r="DQ31" i="9"/>
  <c r="EG31" i="9" s="1"/>
  <c r="DS31" i="9"/>
  <c r="EI31" i="9" s="1"/>
  <c r="DU31" i="9"/>
  <c r="EK31" i="9" s="1"/>
  <c r="DH25" i="9"/>
  <c r="DX25" i="9" s="1"/>
  <c r="DJ25" i="9"/>
  <c r="DZ25" i="9" s="1"/>
  <c r="DL25" i="9"/>
  <c r="EB25" i="9" s="1"/>
  <c r="DN25" i="9"/>
  <c r="ED25" i="9" s="1"/>
  <c r="DP25" i="9"/>
  <c r="EF25" i="9" s="1"/>
  <c r="DR25" i="9"/>
  <c r="EH25" i="9" s="1"/>
  <c r="DT25" i="9"/>
  <c r="EJ25" i="9" s="1"/>
  <c r="DV25" i="9"/>
  <c r="EL25" i="9" s="1"/>
  <c r="C9" i="10"/>
  <c r="DI25" i="9"/>
  <c r="DY25" i="9" s="1"/>
  <c r="DK25" i="9"/>
  <c r="EA25" i="9" s="1"/>
  <c r="DM25" i="9"/>
  <c r="EC25" i="9" s="1"/>
  <c r="DO25" i="9"/>
  <c r="EE25" i="9" s="1"/>
  <c r="DQ25" i="9"/>
  <c r="EG25" i="9" s="1"/>
  <c r="DS25" i="9"/>
  <c r="EI25" i="9" s="1"/>
  <c r="DU25" i="9"/>
  <c r="EK25" i="9" s="1"/>
  <c r="DW25" i="9"/>
  <c r="DW35" i="5"/>
  <c r="DH35" i="5"/>
  <c r="DX35" i="5" s="1"/>
  <c r="DJ35" i="5"/>
  <c r="DZ35" i="5" s="1"/>
  <c r="DL35" i="5"/>
  <c r="EB35" i="5" s="1"/>
  <c r="DN35" i="5"/>
  <c r="ED35" i="5" s="1"/>
  <c r="DP35" i="5"/>
  <c r="EF35" i="5" s="1"/>
  <c r="DR35" i="5"/>
  <c r="EH35" i="5" s="1"/>
  <c r="DT35" i="5"/>
  <c r="EJ35" i="5" s="1"/>
  <c r="DV35" i="5"/>
  <c r="EL35" i="5" s="1"/>
  <c r="C19" i="7"/>
  <c r="DI35" i="5"/>
  <c r="DY35" i="5" s="1"/>
  <c r="DK35" i="5"/>
  <c r="EA35" i="5" s="1"/>
  <c r="DM35" i="5"/>
  <c r="EC35" i="5" s="1"/>
  <c r="DO35" i="5"/>
  <c r="EE35" i="5" s="1"/>
  <c r="DQ35" i="5"/>
  <c r="EG35" i="5" s="1"/>
  <c r="DS35" i="5"/>
  <c r="EI35" i="5" s="1"/>
  <c r="DU35" i="5"/>
  <c r="EK35" i="5" s="1"/>
  <c r="C18" i="4"/>
  <c r="DI34" i="3"/>
  <c r="DY34" i="3" s="1"/>
  <c r="DK34" i="3"/>
  <c r="EA34" i="3" s="1"/>
  <c r="DM34" i="3"/>
  <c r="EC34" i="3" s="1"/>
  <c r="DO34" i="3"/>
  <c r="EE34" i="3" s="1"/>
  <c r="DQ34" i="3"/>
  <c r="EG34" i="3" s="1"/>
  <c r="DS34" i="3"/>
  <c r="EI34" i="3" s="1"/>
  <c r="DU34" i="3"/>
  <c r="EK34" i="3" s="1"/>
  <c r="DW34" i="3"/>
  <c r="DH34" i="3"/>
  <c r="DX34" i="3" s="1"/>
  <c r="DJ34" i="3"/>
  <c r="DZ34" i="3" s="1"/>
  <c r="DL34" i="3"/>
  <c r="EB34" i="3" s="1"/>
  <c r="DN34" i="3"/>
  <c r="ED34" i="3" s="1"/>
  <c r="DP34" i="3"/>
  <c r="EF34" i="3" s="1"/>
  <c r="DR34" i="3"/>
  <c r="EH34" i="3" s="1"/>
  <c r="DT34" i="3"/>
  <c r="EJ34" i="3" s="1"/>
  <c r="DV34" i="3"/>
  <c r="EL34" i="3" s="1"/>
  <c r="DH35" i="3"/>
  <c r="DX35" i="3" s="1"/>
  <c r="DJ35" i="3"/>
  <c r="DZ35" i="3" s="1"/>
  <c r="DL35" i="3"/>
  <c r="EB35" i="3" s="1"/>
  <c r="DN35" i="3"/>
  <c r="ED35" i="3" s="1"/>
  <c r="DP35" i="3"/>
  <c r="EF35" i="3" s="1"/>
  <c r="DR35" i="3"/>
  <c r="EH35" i="3" s="1"/>
  <c r="DT35" i="3"/>
  <c r="EJ35" i="3" s="1"/>
  <c r="DV35" i="3"/>
  <c r="EL35" i="3" s="1"/>
  <c r="C19" i="4"/>
  <c r="DI35" i="3"/>
  <c r="DY35" i="3" s="1"/>
  <c r="DK35" i="3"/>
  <c r="EA35" i="3" s="1"/>
  <c r="DM35" i="3"/>
  <c r="EC35" i="3" s="1"/>
  <c r="DO35" i="3"/>
  <c r="EE35" i="3" s="1"/>
  <c r="DQ35" i="3"/>
  <c r="EG35" i="3" s="1"/>
  <c r="DS35" i="3"/>
  <c r="EI35" i="3" s="1"/>
  <c r="DU35" i="3"/>
  <c r="EK35" i="3" s="1"/>
  <c r="DW35" i="3"/>
  <c r="DH22" i="3"/>
  <c r="DX22" i="3" s="1"/>
  <c r="DJ22" i="3"/>
  <c r="DZ22" i="3" s="1"/>
  <c r="DL22" i="3"/>
  <c r="EB22" i="3" s="1"/>
  <c r="DN22" i="3"/>
  <c r="ED22" i="3" s="1"/>
  <c r="DP22" i="3"/>
  <c r="EF22" i="3" s="1"/>
  <c r="DR22" i="3"/>
  <c r="EH22" i="3" s="1"/>
  <c r="DT22" i="3"/>
  <c r="EJ22" i="3" s="1"/>
  <c r="DV22" i="3"/>
  <c r="EL22" i="3" s="1"/>
  <c r="C6" i="4"/>
  <c r="DI22" i="3"/>
  <c r="DY22" i="3" s="1"/>
  <c r="DK22" i="3"/>
  <c r="EA22" i="3" s="1"/>
  <c r="DM22" i="3"/>
  <c r="EC22" i="3" s="1"/>
  <c r="DO22" i="3"/>
  <c r="EE22" i="3" s="1"/>
  <c r="DQ22" i="3"/>
  <c r="EG22" i="3" s="1"/>
  <c r="DS22" i="3"/>
  <c r="EI22" i="3" s="1"/>
  <c r="DU22" i="3"/>
  <c r="EK22" i="3" s="1"/>
  <c r="DW22" i="3"/>
  <c r="EM29" i="3"/>
  <c r="F13" i="4" s="1"/>
  <c r="E13" i="4" s="1"/>
  <c r="G13" i="4" s="1"/>
  <c r="DW32" i="1"/>
  <c r="C16" i="2"/>
  <c r="DI32" i="1"/>
  <c r="DY32" i="1" s="1"/>
  <c r="DK32" i="1"/>
  <c r="EA32" i="1" s="1"/>
  <c r="DM32" i="1"/>
  <c r="EC32" i="1" s="1"/>
  <c r="DO32" i="1"/>
  <c r="EE32" i="1" s="1"/>
  <c r="DQ32" i="1"/>
  <c r="EG32" i="1" s="1"/>
  <c r="DS32" i="1"/>
  <c r="EI32" i="1" s="1"/>
  <c r="DU32" i="1"/>
  <c r="EK32" i="1" s="1"/>
  <c r="DJ32" i="1"/>
  <c r="DZ32" i="1" s="1"/>
  <c r="DN32" i="1"/>
  <c r="ED32" i="1" s="1"/>
  <c r="DR32" i="1"/>
  <c r="EH32" i="1" s="1"/>
  <c r="DV32" i="1"/>
  <c r="EL32" i="1" s="1"/>
  <c r="DH32" i="1"/>
  <c r="DX32" i="1" s="1"/>
  <c r="DL32" i="1"/>
  <c r="EB32" i="1" s="1"/>
  <c r="DP32" i="1"/>
  <c r="EF32" i="1" s="1"/>
  <c r="DT32" i="1"/>
  <c r="EJ32" i="1" s="1"/>
  <c r="DH31" i="1"/>
  <c r="DX31" i="1" s="1"/>
  <c r="DJ31" i="1"/>
  <c r="DZ31" i="1" s="1"/>
  <c r="DL31" i="1"/>
  <c r="EB31" i="1" s="1"/>
  <c r="DN31" i="1"/>
  <c r="ED31" i="1" s="1"/>
  <c r="DP31" i="1"/>
  <c r="EF31" i="1" s="1"/>
  <c r="DR31" i="1"/>
  <c r="EH31" i="1" s="1"/>
  <c r="DT31" i="1"/>
  <c r="EJ31" i="1" s="1"/>
  <c r="DV31" i="1"/>
  <c r="EL31" i="1" s="1"/>
  <c r="C15" i="2"/>
  <c r="DI31" i="1"/>
  <c r="DY31" i="1" s="1"/>
  <c r="DK31" i="1"/>
  <c r="EA31" i="1" s="1"/>
  <c r="DM31" i="1"/>
  <c r="EC31" i="1" s="1"/>
  <c r="DO31" i="1"/>
  <c r="EE31" i="1" s="1"/>
  <c r="DW31" i="1"/>
  <c r="DS31" i="1"/>
  <c r="EI31" i="1" s="1"/>
  <c r="DQ31" i="1"/>
  <c r="EG31" i="1" s="1"/>
  <c r="DU31" i="1"/>
  <c r="EK31" i="1" s="1"/>
  <c r="DW22" i="1"/>
  <c r="DH22" i="1"/>
  <c r="DX22" i="1" s="1"/>
  <c r="DJ22" i="1"/>
  <c r="DZ22" i="1" s="1"/>
  <c r="DL22" i="1"/>
  <c r="EB22" i="1" s="1"/>
  <c r="DN22" i="1"/>
  <c r="ED22" i="1" s="1"/>
  <c r="DP22" i="1"/>
  <c r="EF22" i="1" s="1"/>
  <c r="DR22" i="1"/>
  <c r="EH22" i="1" s="1"/>
  <c r="DT22" i="1"/>
  <c r="EJ22" i="1" s="1"/>
  <c r="DV22" i="1"/>
  <c r="EL22" i="1" s="1"/>
  <c r="C6" i="2"/>
  <c r="DI22" i="1"/>
  <c r="DY22" i="1" s="1"/>
  <c r="DK22" i="1"/>
  <c r="EA22" i="1" s="1"/>
  <c r="DM22" i="1"/>
  <c r="EC22" i="1" s="1"/>
  <c r="DO22" i="1"/>
  <c r="EE22" i="1" s="1"/>
  <c r="DQ22" i="1"/>
  <c r="EG22" i="1" s="1"/>
  <c r="DS22" i="1"/>
  <c r="EI22" i="1" s="1"/>
  <c r="DU22" i="1"/>
  <c r="EK22" i="1" s="1"/>
  <c r="EM28" i="5"/>
  <c r="C15" i="7"/>
  <c r="DI31" i="5"/>
  <c r="DY31" i="5" s="1"/>
  <c r="DK31" i="5"/>
  <c r="EA31" i="5" s="1"/>
  <c r="DM31" i="5"/>
  <c r="EC31" i="5" s="1"/>
  <c r="DO31" i="5"/>
  <c r="EE31" i="5" s="1"/>
  <c r="DQ31" i="5"/>
  <c r="EG31" i="5" s="1"/>
  <c r="DS31" i="5"/>
  <c r="EI31" i="5" s="1"/>
  <c r="DU31" i="5"/>
  <c r="EK31" i="5" s="1"/>
  <c r="DW31" i="5"/>
  <c r="DH31" i="5"/>
  <c r="DX31" i="5" s="1"/>
  <c r="DJ31" i="5"/>
  <c r="DZ31" i="5" s="1"/>
  <c r="DL31" i="5"/>
  <c r="EB31" i="5" s="1"/>
  <c r="DN31" i="5"/>
  <c r="ED31" i="5" s="1"/>
  <c r="DP31" i="5"/>
  <c r="EF31" i="5" s="1"/>
  <c r="DR31" i="5"/>
  <c r="EH31" i="5" s="1"/>
  <c r="DT31" i="5"/>
  <c r="EJ31" i="5" s="1"/>
  <c r="DV31" i="5"/>
  <c r="EL31" i="5" s="1"/>
  <c r="C16" i="10"/>
  <c r="DI32" i="9"/>
  <c r="DY32" i="9" s="1"/>
  <c r="DK32" i="9"/>
  <c r="EA32" i="9" s="1"/>
  <c r="DM32" i="9"/>
  <c r="EC32" i="9" s="1"/>
  <c r="DO32" i="9"/>
  <c r="EE32" i="9" s="1"/>
  <c r="DQ32" i="9"/>
  <c r="EG32" i="9" s="1"/>
  <c r="DS32" i="9"/>
  <c r="EI32" i="9" s="1"/>
  <c r="DU32" i="9"/>
  <c r="EK32" i="9" s="1"/>
  <c r="DW32" i="9"/>
  <c r="DH32" i="9"/>
  <c r="DX32" i="9" s="1"/>
  <c r="DJ32" i="9"/>
  <c r="DZ32" i="9" s="1"/>
  <c r="DL32" i="9"/>
  <c r="EB32" i="9" s="1"/>
  <c r="DN32" i="9"/>
  <c r="ED32" i="9" s="1"/>
  <c r="DP32" i="9"/>
  <c r="EF32" i="9" s="1"/>
  <c r="DR32" i="9"/>
  <c r="EH32" i="9" s="1"/>
  <c r="DT32" i="9"/>
  <c r="EJ32" i="9" s="1"/>
  <c r="DV32" i="9"/>
  <c r="EL32" i="9" s="1"/>
  <c r="DW26" i="9"/>
  <c r="DH26" i="9"/>
  <c r="DX26" i="9" s="1"/>
  <c r="DJ26" i="9"/>
  <c r="DZ26" i="9" s="1"/>
  <c r="DL26" i="9"/>
  <c r="EB26" i="9" s="1"/>
  <c r="DN26" i="9"/>
  <c r="ED26" i="9" s="1"/>
  <c r="DP26" i="9"/>
  <c r="EF26" i="9" s="1"/>
  <c r="DR26" i="9"/>
  <c r="EH26" i="9" s="1"/>
  <c r="DT26" i="9"/>
  <c r="EJ26" i="9" s="1"/>
  <c r="DV26" i="9"/>
  <c r="EL26" i="9" s="1"/>
  <c r="C10" i="10"/>
  <c r="DI26" i="9"/>
  <c r="DY26" i="9" s="1"/>
  <c r="DK26" i="9"/>
  <c r="EA26" i="9" s="1"/>
  <c r="DM26" i="9"/>
  <c r="EC26" i="9" s="1"/>
  <c r="DO26" i="9"/>
  <c r="EE26" i="9" s="1"/>
  <c r="DQ26" i="9"/>
  <c r="EG26" i="9" s="1"/>
  <c r="DS26" i="9"/>
  <c r="EI26" i="9" s="1"/>
  <c r="DU26" i="9"/>
  <c r="EK26" i="9" s="1"/>
  <c r="DH23" i="9"/>
  <c r="DX23" i="9" s="1"/>
  <c r="DJ23" i="9"/>
  <c r="DZ23" i="9" s="1"/>
  <c r="DL23" i="9"/>
  <c r="EB23" i="9" s="1"/>
  <c r="DN23" i="9"/>
  <c r="ED23" i="9" s="1"/>
  <c r="DP23" i="9"/>
  <c r="EF23" i="9" s="1"/>
  <c r="DR23" i="9"/>
  <c r="EH23" i="9" s="1"/>
  <c r="DT23" i="9"/>
  <c r="EJ23" i="9" s="1"/>
  <c r="DV23" i="9"/>
  <c r="EL23" i="9" s="1"/>
  <c r="C7" i="10"/>
  <c r="DI23" i="9"/>
  <c r="DY23" i="9" s="1"/>
  <c r="DK23" i="9"/>
  <c r="EA23" i="9" s="1"/>
  <c r="DM23" i="9"/>
  <c r="EC23" i="9" s="1"/>
  <c r="DO23" i="9"/>
  <c r="EE23" i="9" s="1"/>
  <c r="DQ23" i="9"/>
  <c r="EG23" i="9" s="1"/>
  <c r="DS23" i="9"/>
  <c r="EI23" i="9" s="1"/>
  <c r="DU23" i="9"/>
  <c r="EK23" i="9" s="1"/>
  <c r="DW23" i="9"/>
  <c r="C17" i="7"/>
  <c r="DI33" i="5"/>
  <c r="DY33" i="5" s="1"/>
  <c r="DK33" i="5"/>
  <c r="EA33" i="5" s="1"/>
  <c r="DM33" i="5"/>
  <c r="EC33" i="5" s="1"/>
  <c r="DO33" i="5"/>
  <c r="EE33" i="5" s="1"/>
  <c r="DQ33" i="5"/>
  <c r="EG33" i="5" s="1"/>
  <c r="DS33" i="5"/>
  <c r="EI33" i="5" s="1"/>
  <c r="DU33" i="5"/>
  <c r="EK33" i="5" s="1"/>
  <c r="DW33" i="5"/>
  <c r="DH33" i="5"/>
  <c r="DX33" i="5" s="1"/>
  <c r="DJ33" i="5"/>
  <c r="DZ33" i="5" s="1"/>
  <c r="DL33" i="5"/>
  <c r="EB33" i="5" s="1"/>
  <c r="DN33" i="5"/>
  <c r="ED33" i="5" s="1"/>
  <c r="DP33" i="5"/>
  <c r="EF33" i="5" s="1"/>
  <c r="DR33" i="5"/>
  <c r="EH33" i="5" s="1"/>
  <c r="DT33" i="5"/>
  <c r="EJ33" i="5" s="1"/>
  <c r="DV33" i="5"/>
  <c r="EL33" i="5" s="1"/>
  <c r="C16" i="4"/>
  <c r="DI32" i="3"/>
  <c r="DY32" i="3" s="1"/>
  <c r="DK32" i="3"/>
  <c r="EA32" i="3" s="1"/>
  <c r="DM32" i="3"/>
  <c r="EC32" i="3" s="1"/>
  <c r="DO32" i="3"/>
  <c r="EE32" i="3" s="1"/>
  <c r="DQ32" i="3"/>
  <c r="EG32" i="3" s="1"/>
  <c r="DS32" i="3"/>
  <c r="EI32" i="3" s="1"/>
  <c r="DU32" i="3"/>
  <c r="EK32" i="3" s="1"/>
  <c r="DW32" i="3"/>
  <c r="DH32" i="3"/>
  <c r="DX32" i="3" s="1"/>
  <c r="DJ32" i="3"/>
  <c r="DZ32" i="3" s="1"/>
  <c r="DL32" i="3"/>
  <c r="EB32" i="3" s="1"/>
  <c r="DN32" i="3"/>
  <c r="ED32" i="3" s="1"/>
  <c r="DP32" i="3"/>
  <c r="EF32" i="3" s="1"/>
  <c r="DR32" i="3"/>
  <c r="EH32" i="3" s="1"/>
  <c r="DT32" i="3"/>
  <c r="EJ32" i="3" s="1"/>
  <c r="DV32" i="3"/>
  <c r="EL32" i="3" s="1"/>
  <c r="C14" i="4"/>
  <c r="DI30" i="3"/>
  <c r="DY30" i="3" s="1"/>
  <c r="DK30" i="3"/>
  <c r="EA30" i="3" s="1"/>
  <c r="DM30" i="3"/>
  <c r="EC30" i="3" s="1"/>
  <c r="DO30" i="3"/>
  <c r="EE30" i="3" s="1"/>
  <c r="DQ30" i="3"/>
  <c r="EG30" i="3" s="1"/>
  <c r="DS30" i="3"/>
  <c r="EI30" i="3" s="1"/>
  <c r="DU30" i="3"/>
  <c r="EK30" i="3" s="1"/>
  <c r="DW30" i="3"/>
  <c r="DH30" i="3"/>
  <c r="DX30" i="3" s="1"/>
  <c r="DJ30" i="3"/>
  <c r="DZ30" i="3" s="1"/>
  <c r="DL30" i="3"/>
  <c r="EB30" i="3" s="1"/>
  <c r="DN30" i="3"/>
  <c r="ED30" i="3" s="1"/>
  <c r="DP30" i="3"/>
  <c r="EF30" i="3" s="1"/>
  <c r="DR30" i="3"/>
  <c r="EH30" i="3" s="1"/>
  <c r="DT30" i="3"/>
  <c r="EJ30" i="3" s="1"/>
  <c r="DV30" i="3"/>
  <c r="EL30" i="3" s="1"/>
  <c r="C10" i="4"/>
  <c r="DI26" i="3"/>
  <c r="DY26" i="3" s="1"/>
  <c r="DK26" i="3"/>
  <c r="EA26" i="3" s="1"/>
  <c r="DM26" i="3"/>
  <c r="EC26" i="3" s="1"/>
  <c r="DO26" i="3"/>
  <c r="EE26" i="3" s="1"/>
  <c r="DW26" i="3"/>
  <c r="DH26" i="3"/>
  <c r="DX26" i="3" s="1"/>
  <c r="DJ26" i="3"/>
  <c r="DZ26" i="3" s="1"/>
  <c r="DN26" i="3"/>
  <c r="ED26" i="3" s="1"/>
  <c r="DS26" i="3"/>
  <c r="EI26" i="3" s="1"/>
  <c r="DP26" i="3"/>
  <c r="EF26" i="3" s="1"/>
  <c r="DT26" i="3"/>
  <c r="EJ26" i="3" s="1"/>
  <c r="DQ26" i="3"/>
  <c r="EG26" i="3" s="1"/>
  <c r="DU26" i="3"/>
  <c r="EK26" i="3" s="1"/>
  <c r="DL26" i="3"/>
  <c r="EB26" i="3" s="1"/>
  <c r="DR26" i="3"/>
  <c r="EH26" i="3" s="1"/>
  <c r="DV26" i="3"/>
  <c r="EL26" i="3" s="1"/>
  <c r="C8" i="7"/>
  <c r="DI24" i="5"/>
  <c r="DY24" i="5" s="1"/>
  <c r="DK24" i="5"/>
  <c r="EA24" i="5" s="1"/>
  <c r="DM24" i="5"/>
  <c r="EC24" i="5" s="1"/>
  <c r="DO24" i="5"/>
  <c r="EE24" i="5" s="1"/>
  <c r="DQ24" i="5"/>
  <c r="EG24" i="5" s="1"/>
  <c r="DS24" i="5"/>
  <c r="EI24" i="5" s="1"/>
  <c r="DU24" i="5"/>
  <c r="EK24" i="5" s="1"/>
  <c r="DW24" i="5"/>
  <c r="DH24" i="5"/>
  <c r="DX24" i="5" s="1"/>
  <c r="DJ24" i="5"/>
  <c r="DZ24" i="5" s="1"/>
  <c r="DL24" i="5"/>
  <c r="EB24" i="5" s="1"/>
  <c r="DN24" i="5"/>
  <c r="ED24" i="5" s="1"/>
  <c r="DP24" i="5"/>
  <c r="EF24" i="5" s="1"/>
  <c r="DR24" i="5"/>
  <c r="EH24" i="5" s="1"/>
  <c r="DT24" i="5"/>
  <c r="EJ24" i="5" s="1"/>
  <c r="DV24" i="5"/>
  <c r="EL24" i="5" s="1"/>
  <c r="F12" i="4"/>
  <c r="E12" i="4" s="1"/>
  <c r="G12" i="4" s="1"/>
  <c r="EM36" i="9"/>
  <c r="F20" i="10" s="1"/>
  <c r="E20" i="10" s="1"/>
  <c r="G20" i="10" s="1"/>
  <c r="DH30" i="5"/>
  <c r="DX30" i="5" s="1"/>
  <c r="DJ30" i="5"/>
  <c r="DZ30" i="5" s="1"/>
  <c r="DL30" i="5"/>
  <c r="EB30" i="5" s="1"/>
  <c r="DN30" i="5"/>
  <c r="ED30" i="5" s="1"/>
  <c r="DP30" i="5"/>
  <c r="EF30" i="5" s="1"/>
  <c r="DR30" i="5"/>
  <c r="EH30" i="5" s="1"/>
  <c r="DT30" i="5"/>
  <c r="EJ30" i="5" s="1"/>
  <c r="DV30" i="5"/>
  <c r="EL30" i="5" s="1"/>
  <c r="C14" i="7"/>
  <c r="DI30" i="5"/>
  <c r="DY30" i="5" s="1"/>
  <c r="DK30" i="5"/>
  <c r="EA30" i="5" s="1"/>
  <c r="DM30" i="5"/>
  <c r="EC30" i="5" s="1"/>
  <c r="DO30" i="5"/>
  <c r="EE30" i="5" s="1"/>
  <c r="DQ30" i="5"/>
  <c r="EG30" i="5" s="1"/>
  <c r="DS30" i="5"/>
  <c r="EI30" i="5" s="1"/>
  <c r="DU30" i="5"/>
  <c r="EK30" i="5" s="1"/>
  <c r="DW30" i="5"/>
  <c r="C16" i="7"/>
  <c r="DI32" i="5"/>
  <c r="DY32" i="5" s="1"/>
  <c r="DK32" i="5"/>
  <c r="EA32" i="5" s="1"/>
  <c r="DM32" i="5"/>
  <c r="EC32" i="5" s="1"/>
  <c r="DO32" i="5"/>
  <c r="EE32" i="5" s="1"/>
  <c r="DQ32" i="5"/>
  <c r="EG32" i="5" s="1"/>
  <c r="DS32" i="5"/>
  <c r="EI32" i="5" s="1"/>
  <c r="DU32" i="5"/>
  <c r="EK32" i="5" s="1"/>
  <c r="DW32" i="5"/>
  <c r="DH32" i="5"/>
  <c r="DX32" i="5" s="1"/>
  <c r="DJ32" i="5"/>
  <c r="DZ32" i="5" s="1"/>
  <c r="DL32" i="5"/>
  <c r="EB32" i="5" s="1"/>
  <c r="DN32" i="5"/>
  <c r="ED32" i="5" s="1"/>
  <c r="DP32" i="5"/>
  <c r="EF32" i="5" s="1"/>
  <c r="DR32" i="5"/>
  <c r="EH32" i="5" s="1"/>
  <c r="DT32" i="5"/>
  <c r="EJ32" i="5" s="1"/>
  <c r="DV32" i="5"/>
  <c r="EL32" i="5" s="1"/>
  <c r="DH33" i="1"/>
  <c r="DX33" i="1" s="1"/>
  <c r="DJ33" i="1"/>
  <c r="DZ33" i="1" s="1"/>
  <c r="DL33" i="1"/>
  <c r="EB33" i="1" s="1"/>
  <c r="DN33" i="1"/>
  <c r="ED33" i="1" s="1"/>
  <c r="DP33" i="1"/>
  <c r="EF33" i="1" s="1"/>
  <c r="DR33" i="1"/>
  <c r="EH33" i="1" s="1"/>
  <c r="DT33" i="1"/>
  <c r="EJ33" i="1" s="1"/>
  <c r="DV33" i="1"/>
  <c r="EL33" i="1" s="1"/>
  <c r="DW33" i="1"/>
  <c r="DI33" i="1"/>
  <c r="DY33" i="1" s="1"/>
  <c r="DM33" i="1"/>
  <c r="EC33" i="1" s="1"/>
  <c r="DQ33" i="1"/>
  <c r="EG33" i="1" s="1"/>
  <c r="DU33" i="1"/>
  <c r="EK33" i="1" s="1"/>
  <c r="C17" i="2"/>
  <c r="DK33" i="1"/>
  <c r="EA33" i="1" s="1"/>
  <c r="DO33" i="1"/>
  <c r="EE33" i="1" s="1"/>
  <c r="DS33" i="1"/>
  <c r="EI33" i="1" s="1"/>
  <c r="DH35" i="1"/>
  <c r="DX35" i="1" s="1"/>
  <c r="DL35" i="1"/>
  <c r="EB35" i="1" s="1"/>
  <c r="DO35" i="1"/>
  <c r="EE35" i="1" s="1"/>
  <c r="DT35" i="1"/>
  <c r="EJ35" i="1" s="1"/>
  <c r="C19" i="2"/>
  <c r="DJ35" i="1"/>
  <c r="DZ35" i="1" s="1"/>
  <c r="DM35" i="1"/>
  <c r="EC35" i="1" s="1"/>
  <c r="DR35" i="1"/>
  <c r="EH35" i="1" s="1"/>
  <c r="DU35" i="1"/>
  <c r="EK35" i="1" s="1"/>
  <c r="DW35" i="1"/>
  <c r="DK35" i="1"/>
  <c r="EA35" i="1" s="1"/>
  <c r="DP35" i="1"/>
  <c r="EF35" i="1" s="1"/>
  <c r="DS35" i="1"/>
  <c r="EI35" i="1" s="1"/>
  <c r="DI35" i="1"/>
  <c r="DY35" i="1" s="1"/>
  <c r="DN35" i="1"/>
  <c r="ED35" i="1" s="1"/>
  <c r="DQ35" i="1"/>
  <c r="EG35" i="1" s="1"/>
  <c r="DV35" i="1"/>
  <c r="EL35" i="1" s="1"/>
  <c r="C10" i="2"/>
  <c r="DI26" i="1"/>
  <c r="DY26" i="1" s="1"/>
  <c r="DK26" i="1"/>
  <c r="EA26" i="1" s="1"/>
  <c r="DM26" i="1"/>
  <c r="EC26" i="1" s="1"/>
  <c r="DO26" i="1"/>
  <c r="EE26" i="1" s="1"/>
  <c r="DQ26" i="1"/>
  <c r="EG26" i="1" s="1"/>
  <c r="DS26" i="1"/>
  <c r="EI26" i="1" s="1"/>
  <c r="DU26" i="1"/>
  <c r="EK26" i="1" s="1"/>
  <c r="DW26" i="1"/>
  <c r="DL26" i="1"/>
  <c r="EB26" i="1" s="1"/>
  <c r="DT26" i="1"/>
  <c r="EJ26" i="1" s="1"/>
  <c r="DN26" i="1"/>
  <c r="ED26" i="1" s="1"/>
  <c r="DV26" i="1"/>
  <c r="EL26" i="1" s="1"/>
  <c r="DH26" i="1"/>
  <c r="DX26" i="1" s="1"/>
  <c r="DP26" i="1"/>
  <c r="EF26" i="1" s="1"/>
  <c r="DJ26" i="1"/>
  <c r="DZ26" i="1" s="1"/>
  <c r="DR26" i="1"/>
  <c r="EH26" i="1" s="1"/>
  <c r="F12" i="7"/>
  <c r="E12" i="7" s="1"/>
  <c r="G12" i="7" s="1"/>
  <c r="C6" i="10"/>
  <c r="DI22" i="9"/>
  <c r="DY22" i="9" s="1"/>
  <c r="DK22" i="9"/>
  <c r="EA22" i="9" s="1"/>
  <c r="DM22" i="9"/>
  <c r="EC22" i="9" s="1"/>
  <c r="DO22" i="9"/>
  <c r="EE22" i="9" s="1"/>
  <c r="DQ22" i="9"/>
  <c r="EG22" i="9" s="1"/>
  <c r="DS22" i="9"/>
  <c r="EI22" i="9" s="1"/>
  <c r="DU22" i="9"/>
  <c r="EK22" i="9" s="1"/>
  <c r="DW22" i="9"/>
  <c r="DH22" i="9"/>
  <c r="DX22" i="9" s="1"/>
  <c r="DJ22" i="9"/>
  <c r="DZ22" i="9" s="1"/>
  <c r="DL22" i="9"/>
  <c r="EB22" i="9" s="1"/>
  <c r="DN22" i="9"/>
  <c r="ED22" i="9" s="1"/>
  <c r="DP22" i="9"/>
  <c r="EF22" i="9" s="1"/>
  <c r="DR22" i="9"/>
  <c r="EH22" i="9" s="1"/>
  <c r="DT22" i="9"/>
  <c r="EJ22" i="9" s="1"/>
  <c r="DV22" i="9"/>
  <c r="EL22" i="9" s="1"/>
  <c r="DW24" i="9"/>
  <c r="DH24" i="9"/>
  <c r="DX24" i="9" s="1"/>
  <c r="DJ24" i="9"/>
  <c r="DZ24" i="9" s="1"/>
  <c r="DL24" i="9"/>
  <c r="EB24" i="9" s="1"/>
  <c r="DN24" i="9"/>
  <c r="ED24" i="9" s="1"/>
  <c r="DP24" i="9"/>
  <c r="EF24" i="9" s="1"/>
  <c r="DR24" i="9"/>
  <c r="EH24" i="9" s="1"/>
  <c r="DT24" i="9"/>
  <c r="EJ24" i="9" s="1"/>
  <c r="DV24" i="9"/>
  <c r="EL24" i="9" s="1"/>
  <c r="C8" i="10"/>
  <c r="DI24" i="9"/>
  <c r="DY24" i="9" s="1"/>
  <c r="DK24" i="9"/>
  <c r="EA24" i="9" s="1"/>
  <c r="DM24" i="9"/>
  <c r="EC24" i="9" s="1"/>
  <c r="DO24" i="9"/>
  <c r="EE24" i="9" s="1"/>
  <c r="DQ24" i="9"/>
  <c r="EG24" i="9" s="1"/>
  <c r="DS24" i="9"/>
  <c r="EI24" i="9" s="1"/>
  <c r="DU24" i="9"/>
  <c r="EK24" i="9" s="1"/>
  <c r="C14" i="10"/>
  <c r="DI30" i="9"/>
  <c r="DY30" i="9" s="1"/>
  <c r="DK30" i="9"/>
  <c r="EA30" i="9" s="1"/>
  <c r="DM30" i="9"/>
  <c r="EC30" i="9" s="1"/>
  <c r="DO30" i="9"/>
  <c r="EE30" i="9" s="1"/>
  <c r="DQ30" i="9"/>
  <c r="EG30" i="9" s="1"/>
  <c r="DS30" i="9"/>
  <c r="EI30" i="9" s="1"/>
  <c r="DU30" i="9"/>
  <c r="EK30" i="9" s="1"/>
  <c r="DW30" i="9"/>
  <c r="DH30" i="9"/>
  <c r="DX30" i="9" s="1"/>
  <c r="DJ30" i="9"/>
  <c r="DZ30" i="9" s="1"/>
  <c r="DL30" i="9"/>
  <c r="EB30" i="9" s="1"/>
  <c r="DN30" i="9"/>
  <c r="ED30" i="9" s="1"/>
  <c r="DP30" i="9"/>
  <c r="EF30" i="9" s="1"/>
  <c r="DR30" i="9"/>
  <c r="EH30" i="9" s="1"/>
  <c r="DT30" i="9"/>
  <c r="EJ30" i="9" s="1"/>
  <c r="DV30" i="9"/>
  <c r="EL30" i="9" s="1"/>
  <c r="DW33" i="3"/>
  <c r="DH33" i="3"/>
  <c r="DX33" i="3" s="1"/>
  <c r="DJ33" i="3"/>
  <c r="DZ33" i="3" s="1"/>
  <c r="DL33" i="3"/>
  <c r="EB33" i="3" s="1"/>
  <c r="DN33" i="3"/>
  <c r="ED33" i="3" s="1"/>
  <c r="DP33" i="3"/>
  <c r="EF33" i="3" s="1"/>
  <c r="DR33" i="3"/>
  <c r="EH33" i="3" s="1"/>
  <c r="DT33" i="3"/>
  <c r="EJ33" i="3" s="1"/>
  <c r="DV33" i="3"/>
  <c r="EL33" i="3" s="1"/>
  <c r="C17" i="4"/>
  <c r="DI33" i="3"/>
  <c r="DY33" i="3" s="1"/>
  <c r="DK33" i="3"/>
  <c r="EA33" i="3" s="1"/>
  <c r="DM33" i="3"/>
  <c r="EC33" i="3" s="1"/>
  <c r="DO33" i="3"/>
  <c r="EE33" i="3" s="1"/>
  <c r="DQ33" i="3"/>
  <c r="EG33" i="3" s="1"/>
  <c r="DS33" i="3"/>
  <c r="EI33" i="3" s="1"/>
  <c r="DU33" i="3"/>
  <c r="EK33" i="3" s="1"/>
  <c r="C9" i="4"/>
  <c r="DI25" i="3"/>
  <c r="DY25" i="3" s="1"/>
  <c r="DK25" i="3"/>
  <c r="EA25" i="3" s="1"/>
  <c r="DM25" i="3"/>
  <c r="EC25" i="3" s="1"/>
  <c r="DO25" i="3"/>
  <c r="EE25" i="3" s="1"/>
  <c r="DQ25" i="3"/>
  <c r="EG25" i="3" s="1"/>
  <c r="DS25" i="3"/>
  <c r="EI25" i="3" s="1"/>
  <c r="DU25" i="3"/>
  <c r="EK25" i="3" s="1"/>
  <c r="DW25" i="3"/>
  <c r="DH25" i="3"/>
  <c r="DX25" i="3" s="1"/>
  <c r="DJ25" i="3"/>
  <c r="DZ25" i="3" s="1"/>
  <c r="DL25" i="3"/>
  <c r="EB25" i="3" s="1"/>
  <c r="DN25" i="3"/>
  <c r="ED25" i="3" s="1"/>
  <c r="DP25" i="3"/>
  <c r="EF25" i="3" s="1"/>
  <c r="DR25" i="3"/>
  <c r="EH25" i="3" s="1"/>
  <c r="DT25" i="3"/>
  <c r="EJ25" i="3" s="1"/>
  <c r="DV25" i="3"/>
  <c r="EL25" i="3" s="1"/>
  <c r="C8" i="4"/>
  <c r="DI24" i="3"/>
  <c r="DY24" i="3" s="1"/>
  <c r="DK24" i="3"/>
  <c r="EA24" i="3" s="1"/>
  <c r="DM24" i="3"/>
  <c r="EC24" i="3" s="1"/>
  <c r="DO24" i="3"/>
  <c r="EE24" i="3" s="1"/>
  <c r="DQ24" i="3"/>
  <c r="EG24" i="3" s="1"/>
  <c r="DS24" i="3"/>
  <c r="EI24" i="3" s="1"/>
  <c r="DU24" i="3"/>
  <c r="EK24" i="3" s="1"/>
  <c r="DW24" i="3"/>
  <c r="DH24" i="3"/>
  <c r="DX24" i="3" s="1"/>
  <c r="DJ24" i="3"/>
  <c r="DZ24" i="3" s="1"/>
  <c r="DL24" i="3"/>
  <c r="EB24" i="3" s="1"/>
  <c r="DN24" i="3"/>
  <c r="ED24" i="3" s="1"/>
  <c r="DP24" i="3"/>
  <c r="EF24" i="3" s="1"/>
  <c r="DR24" i="3"/>
  <c r="EH24" i="3" s="1"/>
  <c r="DT24" i="3"/>
  <c r="EJ24" i="3" s="1"/>
  <c r="DV24" i="3"/>
  <c r="EL24" i="3" s="1"/>
  <c r="EM28" i="9"/>
  <c r="F12" i="10" s="1"/>
  <c r="E12" i="10" s="1"/>
  <c r="G12" i="10" s="1"/>
  <c r="DW23" i="5"/>
  <c r="DH23" i="5"/>
  <c r="DX23" i="5" s="1"/>
  <c r="DJ23" i="5"/>
  <c r="DZ23" i="5" s="1"/>
  <c r="DL23" i="5"/>
  <c r="EB23" i="5" s="1"/>
  <c r="DN23" i="5"/>
  <c r="ED23" i="5" s="1"/>
  <c r="DP23" i="5"/>
  <c r="EF23" i="5" s="1"/>
  <c r="DR23" i="5"/>
  <c r="EH23" i="5" s="1"/>
  <c r="DT23" i="5"/>
  <c r="EJ23" i="5" s="1"/>
  <c r="DV23" i="5"/>
  <c r="EL23" i="5" s="1"/>
  <c r="C7" i="7"/>
  <c r="DI23" i="5"/>
  <c r="DY23" i="5" s="1"/>
  <c r="DK23" i="5"/>
  <c r="EA23" i="5" s="1"/>
  <c r="DM23" i="5"/>
  <c r="EC23" i="5" s="1"/>
  <c r="DO23" i="5"/>
  <c r="EE23" i="5" s="1"/>
  <c r="DQ23" i="5"/>
  <c r="EG23" i="5" s="1"/>
  <c r="DS23" i="5"/>
  <c r="EI23" i="5" s="1"/>
  <c r="DU23" i="5"/>
  <c r="EK23" i="5" s="1"/>
  <c r="DW34" i="1"/>
  <c r="C18" i="2"/>
  <c r="DI34" i="1"/>
  <c r="DY34" i="1" s="1"/>
  <c r="DK34" i="1"/>
  <c r="EA34" i="1" s="1"/>
  <c r="DM34" i="1"/>
  <c r="EC34" i="1" s="1"/>
  <c r="DO34" i="1"/>
  <c r="EE34" i="1" s="1"/>
  <c r="DQ34" i="1"/>
  <c r="EG34" i="1" s="1"/>
  <c r="DS34" i="1"/>
  <c r="EI34" i="1" s="1"/>
  <c r="DU34" i="1"/>
  <c r="EK34" i="1" s="1"/>
  <c r="DH34" i="1"/>
  <c r="DX34" i="1" s="1"/>
  <c r="DL34" i="1"/>
  <c r="EB34" i="1" s="1"/>
  <c r="DP34" i="1"/>
  <c r="EF34" i="1" s="1"/>
  <c r="DT34" i="1"/>
  <c r="EJ34" i="1" s="1"/>
  <c r="DJ34" i="1"/>
  <c r="DZ34" i="1" s="1"/>
  <c r="DN34" i="1"/>
  <c r="ED34" i="1" s="1"/>
  <c r="DR34" i="1"/>
  <c r="EH34" i="1" s="1"/>
  <c r="DV34" i="1"/>
  <c r="EL34" i="1" s="1"/>
  <c r="C9" i="2"/>
  <c r="DI25" i="1"/>
  <c r="DY25" i="1" s="1"/>
  <c r="DK25" i="1"/>
  <c r="EA25" i="1" s="1"/>
  <c r="DM25" i="1"/>
  <c r="EC25" i="1" s="1"/>
  <c r="DO25" i="1"/>
  <c r="EE25" i="1" s="1"/>
  <c r="DQ25" i="1"/>
  <c r="EG25" i="1" s="1"/>
  <c r="DS25" i="1"/>
  <c r="EI25" i="1" s="1"/>
  <c r="DU25" i="1"/>
  <c r="EK25" i="1" s="1"/>
  <c r="DW25" i="1"/>
  <c r="DH25" i="1"/>
  <c r="DX25" i="1" s="1"/>
  <c r="DJ25" i="1"/>
  <c r="DZ25" i="1" s="1"/>
  <c r="DL25" i="1"/>
  <c r="EB25" i="1" s="1"/>
  <c r="DN25" i="1"/>
  <c r="ED25" i="1" s="1"/>
  <c r="DP25" i="1"/>
  <c r="EF25" i="1" s="1"/>
  <c r="DR25" i="1"/>
  <c r="EH25" i="1" s="1"/>
  <c r="DT25" i="1"/>
  <c r="EJ25" i="1" s="1"/>
  <c r="DV25" i="1"/>
  <c r="EL25" i="1" s="1"/>
  <c r="C8" i="2"/>
  <c r="DI24" i="1"/>
  <c r="DY24" i="1" s="1"/>
  <c r="DK24" i="1"/>
  <c r="EA24" i="1" s="1"/>
  <c r="DM24" i="1"/>
  <c r="EC24" i="1" s="1"/>
  <c r="DO24" i="1"/>
  <c r="EE24" i="1" s="1"/>
  <c r="DQ24" i="1"/>
  <c r="EG24" i="1" s="1"/>
  <c r="DS24" i="1"/>
  <c r="EI24" i="1" s="1"/>
  <c r="DU24" i="1"/>
  <c r="EK24" i="1" s="1"/>
  <c r="DW24" i="1"/>
  <c r="DN24" i="1"/>
  <c r="ED24" i="1" s="1"/>
  <c r="DV24" i="1"/>
  <c r="EL24" i="1" s="1"/>
  <c r="DH24" i="1"/>
  <c r="DX24" i="1" s="1"/>
  <c r="DP24" i="1"/>
  <c r="EF24" i="1" s="1"/>
  <c r="DJ24" i="1"/>
  <c r="DZ24" i="1" s="1"/>
  <c r="DR24" i="1"/>
  <c r="EH24" i="1" s="1"/>
  <c r="DL24" i="1"/>
  <c r="EB24" i="1" s="1"/>
  <c r="DT24" i="1"/>
  <c r="EJ24" i="1" s="1"/>
  <c r="F13" i="2"/>
  <c r="E13" i="2" s="1"/>
  <c r="G13" i="2" s="1"/>
  <c r="EM21" i="1"/>
  <c r="F5" i="2" s="1"/>
  <c r="E5" i="2" s="1"/>
  <c r="G5" i="2" s="1"/>
  <c r="EM36" i="3"/>
  <c r="F20" i="4" s="1"/>
  <c r="E20" i="4" s="1"/>
  <c r="G20" i="4" s="1"/>
  <c r="DW33" i="9"/>
  <c r="DH33" i="9"/>
  <c r="DX33" i="9" s="1"/>
  <c r="DJ33" i="9"/>
  <c r="DZ33" i="9" s="1"/>
  <c r="DL33" i="9"/>
  <c r="EB33" i="9" s="1"/>
  <c r="DN33" i="9"/>
  <c r="ED33" i="9" s="1"/>
  <c r="DP33" i="9"/>
  <c r="EF33" i="9" s="1"/>
  <c r="DR33" i="9"/>
  <c r="EH33" i="9" s="1"/>
  <c r="DT33" i="9"/>
  <c r="EJ33" i="9" s="1"/>
  <c r="DV33" i="9"/>
  <c r="EL33" i="9" s="1"/>
  <c r="C17" i="10"/>
  <c r="DI33" i="9"/>
  <c r="DY33" i="9" s="1"/>
  <c r="DK33" i="9"/>
  <c r="EA33" i="9" s="1"/>
  <c r="DM33" i="9"/>
  <c r="EC33" i="9" s="1"/>
  <c r="DO33" i="9"/>
  <c r="EE33" i="9" s="1"/>
  <c r="DQ33" i="9"/>
  <c r="EG33" i="9" s="1"/>
  <c r="DS33" i="9"/>
  <c r="EI33" i="9" s="1"/>
  <c r="DU33" i="9"/>
  <c r="EK33" i="9" s="1"/>
  <c r="DH35" i="9"/>
  <c r="DX35" i="9" s="1"/>
  <c r="DJ35" i="9"/>
  <c r="DZ35" i="9" s="1"/>
  <c r="DL35" i="9"/>
  <c r="EB35" i="9" s="1"/>
  <c r="DN35" i="9"/>
  <c r="ED35" i="9" s="1"/>
  <c r="DP35" i="9"/>
  <c r="EF35" i="9" s="1"/>
  <c r="DR35" i="9"/>
  <c r="EH35" i="9" s="1"/>
  <c r="DT35" i="9"/>
  <c r="EJ35" i="9" s="1"/>
  <c r="DV35" i="9"/>
  <c r="EL35" i="9" s="1"/>
  <c r="C19" i="10"/>
  <c r="DI35" i="9"/>
  <c r="DY35" i="9" s="1"/>
  <c r="DK35" i="9"/>
  <c r="EA35" i="9" s="1"/>
  <c r="DM35" i="9"/>
  <c r="EC35" i="9" s="1"/>
  <c r="DO35" i="9"/>
  <c r="EE35" i="9" s="1"/>
  <c r="DQ35" i="9"/>
  <c r="EG35" i="9" s="1"/>
  <c r="DS35" i="9"/>
  <c r="EI35" i="9" s="1"/>
  <c r="DU35" i="9"/>
  <c r="EK35" i="9" s="1"/>
  <c r="DW35" i="9"/>
  <c r="C11" i="10"/>
  <c r="DI27" i="9"/>
  <c r="DY27" i="9" s="1"/>
  <c r="DK27" i="9"/>
  <c r="EA27" i="9" s="1"/>
  <c r="DM27" i="9"/>
  <c r="EC27" i="9" s="1"/>
  <c r="DO27" i="9"/>
  <c r="EE27" i="9" s="1"/>
  <c r="DQ27" i="9"/>
  <c r="EG27" i="9" s="1"/>
  <c r="DS27" i="9"/>
  <c r="EI27" i="9" s="1"/>
  <c r="DU27" i="9"/>
  <c r="EK27" i="9" s="1"/>
  <c r="DW27" i="9"/>
  <c r="DH27" i="9"/>
  <c r="DX27" i="9" s="1"/>
  <c r="DJ27" i="9"/>
  <c r="DZ27" i="9" s="1"/>
  <c r="DL27" i="9"/>
  <c r="EB27" i="9" s="1"/>
  <c r="DN27" i="9"/>
  <c r="ED27" i="9" s="1"/>
  <c r="DP27" i="9"/>
  <c r="EF27" i="9" s="1"/>
  <c r="DR27" i="9"/>
  <c r="EH27" i="9" s="1"/>
  <c r="DT27" i="9"/>
  <c r="EJ27" i="9" s="1"/>
  <c r="DV27" i="9"/>
  <c r="EL27" i="9" s="1"/>
  <c r="C13" i="7"/>
  <c r="DI29" i="5"/>
  <c r="DY29" i="5" s="1"/>
  <c r="DK29" i="5"/>
  <c r="EA29" i="5" s="1"/>
  <c r="DM29" i="5"/>
  <c r="EC29" i="5" s="1"/>
  <c r="DO29" i="5"/>
  <c r="EE29" i="5" s="1"/>
  <c r="DQ29" i="5"/>
  <c r="EG29" i="5" s="1"/>
  <c r="DS29" i="5"/>
  <c r="EI29" i="5" s="1"/>
  <c r="DU29" i="5"/>
  <c r="EK29" i="5" s="1"/>
  <c r="DW29" i="5"/>
  <c r="DH29" i="5"/>
  <c r="DX29" i="5" s="1"/>
  <c r="DJ29" i="5"/>
  <c r="DZ29" i="5" s="1"/>
  <c r="DL29" i="5"/>
  <c r="EB29" i="5" s="1"/>
  <c r="DN29" i="5"/>
  <c r="ED29" i="5" s="1"/>
  <c r="DP29" i="5"/>
  <c r="EF29" i="5" s="1"/>
  <c r="DR29" i="5"/>
  <c r="EH29" i="5" s="1"/>
  <c r="DT29" i="5"/>
  <c r="EJ29" i="5" s="1"/>
  <c r="DV29" i="5"/>
  <c r="EL29" i="5" s="1"/>
  <c r="DW31" i="3"/>
  <c r="DH31" i="3"/>
  <c r="DX31" i="3" s="1"/>
  <c r="DJ31" i="3"/>
  <c r="DZ31" i="3" s="1"/>
  <c r="DL31" i="3"/>
  <c r="EB31" i="3" s="1"/>
  <c r="DN31" i="3"/>
  <c r="ED31" i="3" s="1"/>
  <c r="DP31" i="3"/>
  <c r="EF31" i="3" s="1"/>
  <c r="DR31" i="3"/>
  <c r="EH31" i="3" s="1"/>
  <c r="DT31" i="3"/>
  <c r="EJ31" i="3" s="1"/>
  <c r="DV31" i="3"/>
  <c r="EL31" i="3" s="1"/>
  <c r="C15" i="4"/>
  <c r="DI31" i="3"/>
  <c r="DY31" i="3" s="1"/>
  <c r="DK31" i="3"/>
  <c r="EA31" i="3" s="1"/>
  <c r="DM31" i="3"/>
  <c r="EC31" i="3" s="1"/>
  <c r="DO31" i="3"/>
  <c r="EE31" i="3" s="1"/>
  <c r="DQ31" i="3"/>
  <c r="EG31" i="3" s="1"/>
  <c r="DS31" i="3"/>
  <c r="EI31" i="3" s="1"/>
  <c r="DU31" i="3"/>
  <c r="EK31" i="3" s="1"/>
  <c r="DW27" i="3"/>
  <c r="DJ27" i="3"/>
  <c r="DZ27" i="3" s="1"/>
  <c r="DN27" i="3"/>
  <c r="ED27" i="3" s="1"/>
  <c r="DR27" i="3"/>
  <c r="EH27" i="3" s="1"/>
  <c r="DV27" i="3"/>
  <c r="EL27" i="3" s="1"/>
  <c r="C11" i="4"/>
  <c r="DK27" i="3"/>
  <c r="EA27" i="3" s="1"/>
  <c r="DO27" i="3"/>
  <c r="EE27" i="3" s="1"/>
  <c r="DS27" i="3"/>
  <c r="EI27" i="3" s="1"/>
  <c r="DH27" i="3"/>
  <c r="DX27" i="3" s="1"/>
  <c r="DL27" i="3"/>
  <c r="EB27" i="3" s="1"/>
  <c r="DP27" i="3"/>
  <c r="EF27" i="3" s="1"/>
  <c r="DT27" i="3"/>
  <c r="EJ27" i="3" s="1"/>
  <c r="DI27" i="3"/>
  <c r="DY27" i="3" s="1"/>
  <c r="DM27" i="3"/>
  <c r="EC27" i="3" s="1"/>
  <c r="DQ27" i="3"/>
  <c r="EG27" i="3" s="1"/>
  <c r="DU27" i="3"/>
  <c r="EK27" i="3" s="1"/>
  <c r="EM28" i="1"/>
  <c r="F12" i="2"/>
  <c r="E12" i="2" s="1"/>
  <c r="G12" i="2" s="1"/>
  <c r="EM22" i="5"/>
  <c r="F6" i="7" s="1"/>
  <c r="E6" i="7" s="1"/>
  <c r="G6" i="7" s="1"/>
  <c r="H6" i="7" s="1"/>
  <c r="EM29" i="9"/>
  <c r="F13" i="10" s="1"/>
  <c r="E13" i="10" s="1"/>
  <c r="G13" i="10" s="1"/>
  <c r="C10" i="7"/>
  <c r="DI26" i="5"/>
  <c r="DY26" i="5" s="1"/>
  <c r="DK26" i="5"/>
  <c r="EA26" i="5" s="1"/>
  <c r="DM26" i="5"/>
  <c r="EC26" i="5" s="1"/>
  <c r="DO26" i="5"/>
  <c r="EE26" i="5" s="1"/>
  <c r="DQ26" i="5"/>
  <c r="EG26" i="5" s="1"/>
  <c r="DS26" i="5"/>
  <c r="EI26" i="5" s="1"/>
  <c r="DU26" i="5"/>
  <c r="EK26" i="5" s="1"/>
  <c r="DW26" i="5"/>
  <c r="DH26" i="5"/>
  <c r="DX26" i="5" s="1"/>
  <c r="DJ26" i="5"/>
  <c r="DZ26" i="5" s="1"/>
  <c r="DL26" i="5"/>
  <c r="EB26" i="5" s="1"/>
  <c r="DN26" i="5"/>
  <c r="ED26" i="5" s="1"/>
  <c r="DP26" i="5"/>
  <c r="EF26" i="5" s="1"/>
  <c r="DR26" i="5"/>
  <c r="EH26" i="5" s="1"/>
  <c r="DT26" i="5"/>
  <c r="EJ26" i="5" s="1"/>
  <c r="DV26" i="5"/>
  <c r="EL26" i="5" s="1"/>
  <c r="C14" i="2"/>
  <c r="DI30" i="1"/>
  <c r="DY30" i="1" s="1"/>
  <c r="DK30" i="1"/>
  <c r="EA30" i="1" s="1"/>
  <c r="DM30" i="1"/>
  <c r="EC30" i="1" s="1"/>
  <c r="DO30" i="1"/>
  <c r="EE30" i="1" s="1"/>
  <c r="DQ30" i="1"/>
  <c r="EG30" i="1" s="1"/>
  <c r="DS30" i="1"/>
  <c r="EI30" i="1" s="1"/>
  <c r="DU30" i="1"/>
  <c r="EK30" i="1" s="1"/>
  <c r="DW30" i="1"/>
  <c r="DH30" i="1"/>
  <c r="DX30" i="1" s="1"/>
  <c r="DJ30" i="1"/>
  <c r="DZ30" i="1" s="1"/>
  <c r="DL30" i="1"/>
  <c r="EB30" i="1" s="1"/>
  <c r="DN30" i="1"/>
  <c r="ED30" i="1" s="1"/>
  <c r="DP30" i="1"/>
  <c r="EF30" i="1" s="1"/>
  <c r="DR30" i="1"/>
  <c r="EH30" i="1" s="1"/>
  <c r="DT30" i="1"/>
  <c r="EJ30" i="1" s="1"/>
  <c r="DV30" i="1"/>
  <c r="EL30" i="1" s="1"/>
  <c r="DW27" i="1"/>
  <c r="DH27" i="1"/>
  <c r="DX27" i="1" s="1"/>
  <c r="DJ27" i="1"/>
  <c r="DZ27" i="1" s="1"/>
  <c r="DL27" i="1"/>
  <c r="EB27" i="1" s="1"/>
  <c r="DN27" i="1"/>
  <c r="ED27" i="1" s="1"/>
  <c r="DP27" i="1"/>
  <c r="EF27" i="1" s="1"/>
  <c r="DR27" i="1"/>
  <c r="EH27" i="1" s="1"/>
  <c r="DT27" i="1"/>
  <c r="EJ27" i="1" s="1"/>
  <c r="DV27" i="1"/>
  <c r="EL27" i="1" s="1"/>
  <c r="C11" i="2"/>
  <c r="DO27" i="1"/>
  <c r="EE27" i="1" s="1"/>
  <c r="DI27" i="1"/>
  <c r="DY27" i="1" s="1"/>
  <c r="DQ27" i="1"/>
  <c r="EG27" i="1" s="1"/>
  <c r="DK27" i="1"/>
  <c r="EA27" i="1" s="1"/>
  <c r="DS27" i="1"/>
  <c r="EI27" i="1" s="1"/>
  <c r="DM27" i="1"/>
  <c r="EC27" i="1" s="1"/>
  <c r="DU27" i="1"/>
  <c r="EK27" i="1" s="1"/>
  <c r="C7" i="2"/>
  <c r="DI23" i="1"/>
  <c r="DY23" i="1" s="1"/>
  <c r="DK23" i="1"/>
  <c r="EA23" i="1" s="1"/>
  <c r="DM23" i="1"/>
  <c r="EC23" i="1" s="1"/>
  <c r="DO23" i="1"/>
  <c r="EE23" i="1" s="1"/>
  <c r="DQ23" i="1"/>
  <c r="EG23" i="1" s="1"/>
  <c r="DS23" i="1"/>
  <c r="EI23" i="1" s="1"/>
  <c r="DU23" i="1"/>
  <c r="EK23" i="1" s="1"/>
  <c r="DW23" i="1"/>
  <c r="DH23" i="1"/>
  <c r="DX23" i="1" s="1"/>
  <c r="DJ23" i="1"/>
  <c r="DZ23" i="1" s="1"/>
  <c r="DL23" i="1"/>
  <c r="EB23" i="1" s="1"/>
  <c r="DN23" i="1"/>
  <c r="ED23" i="1" s="1"/>
  <c r="DP23" i="1"/>
  <c r="EF23" i="1" s="1"/>
  <c r="DR23" i="1"/>
  <c r="EH23" i="1" s="1"/>
  <c r="DT23" i="1"/>
  <c r="EJ23" i="1" s="1"/>
  <c r="DV23" i="1"/>
  <c r="EL23" i="1" s="1"/>
  <c r="F11" i="7"/>
  <c r="E11" i="7" s="1"/>
  <c r="G11" i="7" s="1"/>
  <c r="H11" i="7" s="1"/>
  <c r="EM27" i="5"/>
  <c r="EM34" i="5"/>
  <c r="F18" i="7" s="1"/>
  <c r="E18" i="7" s="1"/>
  <c r="G18" i="7" s="1"/>
  <c r="I6" i="7" l="1"/>
  <c r="K6" i="7"/>
  <c r="J6" i="7" s="1"/>
  <c r="L6" i="7" s="1"/>
  <c r="K11" i="7"/>
  <c r="J11" i="7" s="1"/>
  <c r="L11" i="7" s="1"/>
  <c r="I11" i="7"/>
  <c r="EM30" i="1"/>
  <c r="EM31" i="3"/>
  <c r="F15" i="4" s="1"/>
  <c r="E15" i="4" s="1"/>
  <c r="G15" i="4" s="1"/>
  <c r="EM35" i="9"/>
  <c r="F19" i="10" s="1"/>
  <c r="E19" i="10" s="1"/>
  <c r="G19" i="10" s="1"/>
  <c r="H19" i="10" s="1"/>
  <c r="EM33" i="9"/>
  <c r="F17" i="10" s="1"/>
  <c r="E17" i="10" s="1"/>
  <c r="G17" i="10" s="1"/>
  <c r="EM33" i="3"/>
  <c r="F17" i="4" s="1"/>
  <c r="E17" i="4" s="1"/>
  <c r="G17" i="4" s="1"/>
  <c r="EM26" i="1"/>
  <c r="EM35" i="5"/>
  <c r="F19" i="7" s="1"/>
  <c r="E19" i="7" s="1"/>
  <c r="G19" i="7" s="1"/>
  <c r="H19" i="7" s="1"/>
  <c r="F14" i="2"/>
  <c r="E14" i="2" s="1"/>
  <c r="G14" i="2" s="1"/>
  <c r="H14" i="2" s="1"/>
  <c r="EM26" i="5"/>
  <c r="EM29" i="5"/>
  <c r="F13" i="7" s="1"/>
  <c r="E13" i="7" s="1"/>
  <c r="G13" i="7" s="1"/>
  <c r="EM25" i="1"/>
  <c r="EM30" i="9"/>
  <c r="F10" i="2"/>
  <c r="E10" i="2" s="1"/>
  <c r="G10" i="2" s="1"/>
  <c r="EM30" i="5"/>
  <c r="F14" i="7" s="1"/>
  <c r="E14" i="7" s="1"/>
  <c r="G14" i="7" s="1"/>
  <c r="EM30" i="3"/>
  <c r="EM23" i="9"/>
  <c r="F7" i="10" s="1"/>
  <c r="E7" i="10" s="1"/>
  <c r="G7" i="10" s="1"/>
  <c r="EM26" i="9"/>
  <c r="F10" i="10" s="1"/>
  <c r="E10" i="10" s="1"/>
  <c r="G10" i="10" s="1"/>
  <c r="EM31" i="1"/>
  <c r="F15" i="2" s="1"/>
  <c r="E15" i="2" s="1"/>
  <c r="G15" i="2" s="1"/>
  <c r="H15" i="2" s="1"/>
  <c r="EM32" i="1"/>
  <c r="F16" i="2"/>
  <c r="E16" i="2" s="1"/>
  <c r="G16" i="2" s="1"/>
  <c r="EM23" i="1"/>
  <c r="F10" i="7"/>
  <c r="E10" i="7" s="1"/>
  <c r="G10" i="7" s="1"/>
  <c r="EM27" i="9"/>
  <c r="F11" i="10" s="1"/>
  <c r="E11" i="10" s="1"/>
  <c r="G11" i="10" s="1"/>
  <c r="H11" i="10" s="1"/>
  <c r="EM24" i="1"/>
  <c r="F8" i="2" s="1"/>
  <c r="E8" i="2" s="1"/>
  <c r="G8" i="2" s="1"/>
  <c r="F9" i="2"/>
  <c r="E9" i="2" s="1"/>
  <c r="G9" i="2" s="1"/>
  <c r="H10" i="2" s="1"/>
  <c r="EM34" i="1"/>
  <c r="F18" i="2" s="1"/>
  <c r="E18" i="2" s="1"/>
  <c r="G18" i="2" s="1"/>
  <c r="EM24" i="3"/>
  <c r="F14" i="10"/>
  <c r="E14" i="10" s="1"/>
  <c r="G14" i="10" s="1"/>
  <c r="H14" i="10" s="1"/>
  <c r="EM24" i="9"/>
  <c r="F8" i="10" s="1"/>
  <c r="E8" i="10" s="1"/>
  <c r="G8" i="10" s="1"/>
  <c r="EM35" i="1"/>
  <c r="F19" i="2" s="1"/>
  <c r="E19" i="2" s="1"/>
  <c r="G19" i="2" s="1"/>
  <c r="H19" i="2" s="1"/>
  <c r="F14" i="4"/>
  <c r="E14" i="4" s="1"/>
  <c r="G14" i="4" s="1"/>
  <c r="H14" i="4" s="1"/>
  <c r="EM32" i="3"/>
  <c r="EM32" i="9"/>
  <c r="EM22" i="3"/>
  <c r="F6" i="4" s="1"/>
  <c r="E6" i="4" s="1"/>
  <c r="G6" i="4" s="1"/>
  <c r="H6" i="4" s="1"/>
  <c r="EM25" i="9"/>
  <c r="F9" i="10" s="1"/>
  <c r="E9" i="10" s="1"/>
  <c r="G9" i="10" s="1"/>
  <c r="H10" i="10" s="1"/>
  <c r="EM31" i="9"/>
  <c r="F15" i="10" s="1"/>
  <c r="E15" i="10" s="1"/>
  <c r="G15" i="10" s="1"/>
  <c r="H10" i="7"/>
  <c r="F7" i="2"/>
  <c r="E7" i="2" s="1"/>
  <c r="G7" i="2" s="1"/>
  <c r="EM27" i="1"/>
  <c r="F11" i="2" s="1"/>
  <c r="E11" i="2" s="1"/>
  <c r="G11" i="2" s="1"/>
  <c r="H11" i="2" s="1"/>
  <c r="EM27" i="3"/>
  <c r="F11" i="4" s="1"/>
  <c r="E11" i="4" s="1"/>
  <c r="G11" i="4" s="1"/>
  <c r="H11" i="4" s="1"/>
  <c r="EM23" i="5"/>
  <c r="F7" i="7" s="1"/>
  <c r="E7" i="7" s="1"/>
  <c r="G7" i="7" s="1"/>
  <c r="F8" i="4"/>
  <c r="E8" i="4" s="1"/>
  <c r="G8" i="4" s="1"/>
  <c r="EM25" i="3"/>
  <c r="F9" i="4" s="1"/>
  <c r="E9" i="4" s="1"/>
  <c r="G9" i="4" s="1"/>
  <c r="EM22" i="9"/>
  <c r="F6" i="10" s="1"/>
  <c r="E6" i="10" s="1"/>
  <c r="G6" i="10" s="1"/>
  <c r="H6" i="10" s="1"/>
  <c r="EM33" i="1"/>
  <c r="F17" i="2" s="1"/>
  <c r="E17" i="2" s="1"/>
  <c r="G17" i="2" s="1"/>
  <c r="EM32" i="5"/>
  <c r="F16" i="7" s="1"/>
  <c r="E16" i="7" s="1"/>
  <c r="G16" i="7" s="1"/>
  <c r="EM24" i="5"/>
  <c r="F8" i="7" s="1"/>
  <c r="E8" i="7" s="1"/>
  <c r="G8" i="7" s="1"/>
  <c r="EM26" i="3"/>
  <c r="F10" i="4" s="1"/>
  <c r="E10" i="4" s="1"/>
  <c r="G10" i="4" s="1"/>
  <c r="F16" i="4"/>
  <c r="E16" i="4" s="1"/>
  <c r="G16" i="4" s="1"/>
  <c r="EM33" i="5"/>
  <c r="F17" i="7" s="1"/>
  <c r="E17" i="7" s="1"/>
  <c r="G17" i="7" s="1"/>
  <c r="H18" i="7" s="1"/>
  <c r="F16" i="10"/>
  <c r="E16" i="10" s="1"/>
  <c r="G16" i="10" s="1"/>
  <c r="EM31" i="5"/>
  <c r="F15" i="7" s="1"/>
  <c r="E15" i="7" s="1"/>
  <c r="G15" i="7" s="1"/>
  <c r="H15" i="7" s="1"/>
  <c r="EM22" i="1"/>
  <c r="F6" i="2" s="1"/>
  <c r="E6" i="2" s="1"/>
  <c r="G6" i="2" s="1"/>
  <c r="H6" i="2" s="1"/>
  <c r="EM35" i="3"/>
  <c r="F19" i="4" s="1"/>
  <c r="E19" i="4" s="1"/>
  <c r="G19" i="4" s="1"/>
  <c r="H19" i="4" s="1"/>
  <c r="EM34" i="3"/>
  <c r="F18" i="4" s="1"/>
  <c r="E18" i="4" s="1"/>
  <c r="G18" i="4" s="1"/>
  <c r="EM34" i="9"/>
  <c r="F18" i="10" s="1"/>
  <c r="E18" i="10" s="1"/>
  <c r="G18" i="10" s="1"/>
  <c r="H7" i="4"/>
  <c r="H18" i="2" l="1"/>
  <c r="H7" i="7"/>
  <c r="K7" i="7" s="1"/>
  <c r="J7" i="7" s="1"/>
  <c r="H15" i="4"/>
  <c r="H15" i="10"/>
  <c r="I18" i="7"/>
  <c r="K18" i="7"/>
  <c r="J18" i="7" s="1"/>
  <c r="L18" i="7" s="1"/>
  <c r="K11" i="2"/>
  <c r="J11" i="2" s="1"/>
  <c r="L11" i="2" s="1"/>
  <c r="I11" i="2"/>
  <c r="K10" i="10"/>
  <c r="J10" i="10" s="1"/>
  <c r="I10" i="10"/>
  <c r="I14" i="4"/>
  <c r="K14" i="4"/>
  <c r="J14" i="4" s="1"/>
  <c r="H7" i="10"/>
  <c r="K14" i="2"/>
  <c r="J14" i="2" s="1"/>
  <c r="L14" i="2" s="1"/>
  <c r="I14" i="2"/>
  <c r="H18" i="10"/>
  <c r="I7" i="7"/>
  <c r="I6" i="4"/>
  <c r="K6" i="4"/>
  <c r="J6" i="4" s="1"/>
  <c r="K19" i="2"/>
  <c r="J19" i="2" s="1"/>
  <c r="I19" i="2"/>
  <c r="K11" i="10"/>
  <c r="J11" i="10" s="1"/>
  <c r="I11" i="10"/>
  <c r="I19" i="7"/>
  <c r="K19" i="7"/>
  <c r="J19" i="7" s="1"/>
  <c r="L19" i="7" s="1"/>
  <c r="K19" i="10"/>
  <c r="J19" i="10" s="1"/>
  <c r="L19" i="10" s="1"/>
  <c r="I19" i="10"/>
  <c r="K18" i="2"/>
  <c r="J18" i="2" s="1"/>
  <c r="I18" i="2"/>
  <c r="K6" i="10"/>
  <c r="J6" i="10" s="1"/>
  <c r="L6" i="10" s="1"/>
  <c r="I6" i="10"/>
  <c r="K15" i="2"/>
  <c r="J15" i="2" s="1"/>
  <c r="I15" i="2"/>
  <c r="H14" i="7"/>
  <c r="K15" i="4"/>
  <c r="J15" i="4" s="1"/>
  <c r="I15" i="4"/>
  <c r="K6" i="2"/>
  <c r="J6" i="2" s="1"/>
  <c r="L6" i="2" s="1"/>
  <c r="I6" i="2"/>
  <c r="I15" i="7"/>
  <c r="K15" i="7"/>
  <c r="J15" i="7" s="1"/>
  <c r="L15" i="7" s="1"/>
  <c r="H10" i="4"/>
  <c r="K15" i="10"/>
  <c r="J15" i="10" s="1"/>
  <c r="L15" i="10" s="1"/>
  <c r="I15" i="10"/>
  <c r="I14" i="10"/>
  <c r="K14" i="10"/>
  <c r="J14" i="10" s="1"/>
  <c r="L14" i="10" s="1"/>
  <c r="M16" i="10" s="1"/>
  <c r="H18" i="4"/>
  <c r="K11" i="4"/>
  <c r="J11" i="4" s="1"/>
  <c r="I11" i="4"/>
  <c r="I10" i="2"/>
  <c r="K10" i="2"/>
  <c r="J10" i="2" s="1"/>
  <c r="H7" i="2"/>
  <c r="K10" i="7"/>
  <c r="J10" i="7" s="1"/>
  <c r="I10" i="7"/>
  <c r="K19" i="4"/>
  <c r="J19" i="4" s="1"/>
  <c r="L19" i="4" s="1"/>
  <c r="I19" i="4"/>
  <c r="I7" i="4"/>
  <c r="K7" i="4"/>
  <c r="J7" i="4" s="1"/>
  <c r="L7" i="4" s="1"/>
  <c r="L6" i="4" l="1"/>
  <c r="I7" i="2"/>
  <c r="K7" i="2"/>
  <c r="J7" i="2" s="1"/>
  <c r="L7" i="2" s="1"/>
  <c r="L11" i="4"/>
  <c r="L15" i="4"/>
  <c r="M8" i="4"/>
  <c r="K18" i="10"/>
  <c r="J18" i="10" s="1"/>
  <c r="I18" i="10"/>
  <c r="L14" i="4"/>
  <c r="M16" i="4" s="1"/>
  <c r="L10" i="2"/>
  <c r="M9" i="2" s="1"/>
  <c r="K18" i="4"/>
  <c r="J18" i="4" s="1"/>
  <c r="I18" i="4"/>
  <c r="I14" i="7"/>
  <c r="K14" i="7"/>
  <c r="J14" i="7" s="1"/>
  <c r="L11" i="10"/>
  <c r="N16" i="10"/>
  <c r="P16" i="10"/>
  <c r="O16" i="10" s="1"/>
  <c r="I10" i="4"/>
  <c r="K10" i="4"/>
  <c r="J10" i="4" s="1"/>
  <c r="M8" i="2"/>
  <c r="M17" i="7"/>
  <c r="L10" i="7"/>
  <c r="M9" i="7" s="1"/>
  <c r="L15" i="2"/>
  <c r="M16" i="2" s="1"/>
  <c r="L18" i="2"/>
  <c r="L19" i="2"/>
  <c r="L7" i="7"/>
  <c r="M8" i="7" s="1"/>
  <c r="K7" i="10"/>
  <c r="J7" i="10" s="1"/>
  <c r="I7" i="10"/>
  <c r="L10" i="10"/>
  <c r="L18" i="10" l="1"/>
  <c r="M17" i="10" s="1"/>
  <c r="M9" i="10"/>
  <c r="L18" i="4"/>
  <c r="M17" i="4" s="1"/>
  <c r="Q16" i="10"/>
  <c r="N17" i="7"/>
  <c r="P17" i="7"/>
  <c r="O17" i="7" s="1"/>
  <c r="Q17" i="7" s="1"/>
  <c r="L7" i="10"/>
  <c r="M8" i="10" s="1"/>
  <c r="N8" i="2"/>
  <c r="P8" i="2"/>
  <c r="O8" i="2" s="1"/>
  <c r="Q8" i="2" s="1"/>
  <c r="N16" i="4"/>
  <c r="P16" i="4"/>
  <c r="O16" i="4" s="1"/>
  <c r="N8" i="7"/>
  <c r="P8" i="7"/>
  <c r="O8" i="7" s="1"/>
  <c r="Q8" i="7" s="1"/>
  <c r="N9" i="7"/>
  <c r="P9" i="7"/>
  <c r="O9" i="7" s="1"/>
  <c r="L10" i="4"/>
  <c r="M9" i="4" s="1"/>
  <c r="N17" i="4"/>
  <c r="P17" i="4"/>
  <c r="O17" i="4" s="1"/>
  <c r="Q17" i="4" s="1"/>
  <c r="N17" i="10"/>
  <c r="P17" i="10"/>
  <c r="O17" i="10" s="1"/>
  <c r="P9" i="10"/>
  <c r="O9" i="10" s="1"/>
  <c r="N9" i="10"/>
  <c r="M17" i="2"/>
  <c r="N16" i="2"/>
  <c r="P16" i="2"/>
  <c r="O16" i="2" s="1"/>
  <c r="Q16" i="2" s="1"/>
  <c r="L14" i="7"/>
  <c r="M16" i="7" s="1"/>
  <c r="N9" i="2"/>
  <c r="P9" i="2"/>
  <c r="O9" i="2" s="1"/>
  <c r="Q9" i="2" s="1"/>
  <c r="N8" i="4"/>
  <c r="P8" i="4"/>
  <c r="O8" i="4" s="1"/>
  <c r="Q8" i="4" s="1"/>
  <c r="Q9" i="7" l="1"/>
  <c r="Q17" i="10"/>
  <c r="R13" i="10" s="1"/>
  <c r="P9" i="4"/>
  <c r="O9" i="4" s="1"/>
  <c r="Q9" i="4" s="1"/>
  <c r="R12" i="4" s="1"/>
  <c r="N9" i="4"/>
  <c r="N16" i="7"/>
  <c r="P16" i="7"/>
  <c r="O16" i="7" s="1"/>
  <c r="N17" i="2"/>
  <c r="P17" i="2"/>
  <c r="O17" i="2" s="1"/>
  <c r="Q16" i="4"/>
  <c r="R13" i="4" s="1"/>
  <c r="P8" i="10"/>
  <c r="O8" i="10" s="1"/>
  <c r="N8" i="10"/>
  <c r="Q9" i="10"/>
  <c r="R12" i="7"/>
  <c r="R12" i="2"/>
  <c r="S13" i="4" l="1"/>
  <c r="U13" i="4"/>
  <c r="T13" i="4" s="1"/>
  <c r="V13" i="4" s="1"/>
  <c r="S12" i="4"/>
  <c r="U12" i="4"/>
  <c r="T12" i="4" s="1"/>
  <c r="V12" i="4" s="1"/>
  <c r="Q17" i="2"/>
  <c r="R13" i="2" s="1"/>
  <c r="S12" i="7"/>
  <c r="U12" i="7"/>
  <c r="T12" i="7" s="1"/>
  <c r="S12" i="2"/>
  <c r="U12" i="2"/>
  <c r="T12" i="2" s="1"/>
  <c r="Q8" i="10"/>
  <c r="R12" i="10" s="1"/>
  <c r="Q16" i="7"/>
  <c r="R13" i="7" s="1"/>
  <c r="S13" i="10"/>
  <c r="U13" i="10"/>
  <c r="T13" i="10" s="1"/>
  <c r="V13" i="10" l="1"/>
  <c r="S12" i="10"/>
  <c r="U12" i="10"/>
  <c r="T12" i="10" s="1"/>
  <c r="V12" i="10" s="1"/>
  <c r="X14" i="10" s="1"/>
  <c r="X14" i="4"/>
  <c r="U13" i="7"/>
  <c r="T13" i="7" s="1"/>
  <c r="V13" i="7" s="1"/>
  <c r="S13" i="7"/>
  <c r="V12" i="7"/>
  <c r="V12" i="2"/>
  <c r="S13" i="2"/>
  <c r="U13" i="2"/>
  <c r="T13" i="2" s="1"/>
  <c r="AO2" i="4" l="1"/>
  <c r="AO4" i="4" s="1"/>
  <c r="AA2" i="4"/>
  <c r="AA4" i="4" s="1"/>
  <c r="AB2" i="4"/>
  <c r="AB4" i="4" s="1"/>
  <c r="Y2" i="4"/>
  <c r="Y4" i="4" s="1"/>
  <c r="Z2" i="4"/>
  <c r="Z4" i="4" s="1"/>
  <c r="AN2" i="4"/>
  <c r="AN4" i="4" s="1"/>
  <c r="AL2" i="4"/>
  <c r="AL4" i="4" s="1"/>
  <c r="AE2" i="4"/>
  <c r="AE4" i="4" s="1"/>
  <c r="AC2" i="4"/>
  <c r="AC4" i="4" s="1"/>
  <c r="AJ2" i="4"/>
  <c r="AJ4" i="4" s="1"/>
  <c r="AI2" i="4"/>
  <c r="AI4" i="4" s="1"/>
  <c r="AG2" i="4"/>
  <c r="AG4" i="4" s="1"/>
  <c r="AD2" i="4"/>
  <c r="AD4" i="4" s="1"/>
  <c r="AF2" i="4"/>
  <c r="AF4" i="4" s="1"/>
  <c r="AH2" i="4"/>
  <c r="AH4" i="4" s="1"/>
  <c r="AM2" i="4"/>
  <c r="AM4" i="4" s="1"/>
  <c r="AK2" i="4"/>
  <c r="AK4" i="4" s="1"/>
  <c r="AO2" i="10"/>
  <c r="AO4" i="10" s="1"/>
  <c r="AN2" i="10"/>
  <c r="AN4" i="10" s="1"/>
  <c r="AH2" i="10"/>
  <c r="AH4" i="10" s="1"/>
  <c r="AF2" i="10"/>
  <c r="AF4" i="10" s="1"/>
  <c r="AB2" i="10"/>
  <c r="AB4" i="10" s="1"/>
  <c r="AC2" i="10"/>
  <c r="AC4" i="10" s="1"/>
  <c r="AL2" i="10"/>
  <c r="AL4" i="10" s="1"/>
  <c r="AD2" i="10"/>
  <c r="AD4" i="10" s="1"/>
  <c r="AK2" i="10"/>
  <c r="AK4" i="10" s="1"/>
  <c r="AA2" i="10"/>
  <c r="AA4" i="10" s="1"/>
  <c r="Z2" i="10"/>
  <c r="Z4" i="10" s="1"/>
  <c r="AG2" i="10"/>
  <c r="AG4" i="10" s="1"/>
  <c r="Y2" i="10"/>
  <c r="Y4" i="10" s="1"/>
  <c r="AM2" i="10"/>
  <c r="AM4" i="10" s="1"/>
  <c r="AJ2" i="10"/>
  <c r="AJ4" i="10" s="1"/>
  <c r="AE2" i="10"/>
  <c r="AE4" i="10" s="1"/>
  <c r="AI2" i="10"/>
  <c r="AI4" i="10" s="1"/>
  <c r="X14" i="7"/>
  <c r="V13" i="2"/>
  <c r="X14" i="2" s="1"/>
  <c r="Z2" i="2" l="1"/>
  <c r="Z4" i="2" s="1"/>
  <c r="AE2" i="2"/>
  <c r="AE4" i="2" s="1"/>
  <c r="AJ2" i="2"/>
  <c r="AJ4" i="2" s="1"/>
  <c r="Y2" i="2"/>
  <c r="Y4" i="2" s="1"/>
  <c r="AD2" i="2"/>
  <c r="AD4" i="2" s="1"/>
  <c r="AG2" i="2"/>
  <c r="AG4" i="2" s="1"/>
  <c r="AA2" i="2"/>
  <c r="AA4" i="2" s="1"/>
  <c r="AI2" i="2"/>
  <c r="AI4" i="2" s="1"/>
  <c r="AN2" i="2"/>
  <c r="AN4" i="2" s="1"/>
  <c r="AL2" i="2"/>
  <c r="AL4" i="2" s="1"/>
  <c r="AC2" i="2"/>
  <c r="AC4" i="2" s="1"/>
  <c r="AH2" i="2"/>
  <c r="AH4" i="2" s="1"/>
  <c r="AM2" i="2"/>
  <c r="AM4" i="2" s="1"/>
  <c r="AK2" i="2"/>
  <c r="AK4" i="2" s="1"/>
  <c r="AB2" i="2"/>
  <c r="AB4" i="2" s="1"/>
  <c r="AF2" i="2"/>
  <c r="AF4" i="2" s="1"/>
  <c r="AO2" i="7"/>
  <c r="AO4" i="7" s="1"/>
  <c r="AJ2" i="7"/>
  <c r="AJ4" i="7" s="1"/>
  <c r="AH2" i="7"/>
  <c r="AH4" i="7" s="1"/>
  <c r="AA2" i="7"/>
  <c r="AA4" i="7" s="1"/>
  <c r="Z2" i="7"/>
  <c r="Z4" i="7" s="1"/>
  <c r="AE2" i="7"/>
  <c r="AE4" i="7" s="1"/>
  <c r="AI2" i="7"/>
  <c r="AI4" i="7" s="1"/>
  <c r="AG2" i="7"/>
  <c r="AG4" i="7" s="1"/>
  <c r="AD2" i="7"/>
  <c r="AD4" i="7" s="1"/>
  <c r="AC2" i="7"/>
  <c r="AC4" i="7" s="1"/>
  <c r="AF2" i="7"/>
  <c r="AF4" i="7" s="1"/>
  <c r="AN2" i="7"/>
  <c r="AN4" i="7" s="1"/>
  <c r="AL2" i="7"/>
  <c r="AL4" i="7" s="1"/>
  <c r="Y2" i="7"/>
  <c r="Y4" i="7" s="1"/>
  <c r="AK2" i="7"/>
  <c r="AK4" i="7" s="1"/>
  <c r="AM2" i="7"/>
  <c r="AM4" i="7" s="1"/>
  <c r="AB2" i="7"/>
  <c r="AB4" i="7" s="1"/>
  <c r="X4" i="10"/>
  <c r="AN5" i="10" s="1"/>
  <c r="R5" i="11" s="1"/>
  <c r="R9" i="11" s="1"/>
  <c r="X4" i="4"/>
  <c r="AB5" i="4" s="1"/>
  <c r="F3" i="11" s="1"/>
  <c r="F7" i="11" s="1"/>
  <c r="AL5" i="4" l="1"/>
  <c r="P3" i="11" s="1"/>
  <c r="P7" i="11" s="1"/>
  <c r="AC5" i="10"/>
  <c r="G5" i="11" s="1"/>
  <c r="G9" i="11" s="1"/>
  <c r="X4" i="2"/>
  <c r="S6" i="11" s="1"/>
  <c r="AO5" i="10"/>
  <c r="S5" i="11" s="1"/>
  <c r="S9" i="11" s="1"/>
  <c r="AO5" i="4"/>
  <c r="S3" i="11" s="1"/>
  <c r="S7" i="11" s="1"/>
  <c r="AN5" i="4"/>
  <c r="R3" i="11" s="1"/>
  <c r="R7" i="11" s="1"/>
  <c r="AB5" i="10"/>
  <c r="F5" i="11" s="1"/>
  <c r="F9" i="11" s="1"/>
  <c r="AI5" i="10"/>
  <c r="M5" i="11" s="1"/>
  <c r="M9" i="11" s="1"/>
  <c r="AI5" i="4"/>
  <c r="M3" i="11" s="1"/>
  <c r="M7" i="11" s="1"/>
  <c r="AA5" i="10"/>
  <c r="E5" i="11" s="1"/>
  <c r="E9" i="11" s="1"/>
  <c r="AC5" i="2"/>
  <c r="G2" i="11" s="1"/>
  <c r="G6" i="11" s="1"/>
  <c r="AJ5" i="2"/>
  <c r="N2" i="11" s="1"/>
  <c r="N6" i="11" s="1"/>
  <c r="AH5" i="10"/>
  <c r="L5" i="11" s="1"/>
  <c r="L9" i="11" s="1"/>
  <c r="AA5" i="4"/>
  <c r="E3" i="11" s="1"/>
  <c r="E7" i="11" s="1"/>
  <c r="AL5" i="10"/>
  <c r="P5" i="11" s="1"/>
  <c r="P9" i="11" s="1"/>
  <c r="Z5" i="10"/>
  <c r="D5" i="11" s="1"/>
  <c r="D9" i="11" s="1"/>
  <c r="AJ5" i="4"/>
  <c r="N3" i="11" s="1"/>
  <c r="N7" i="11" s="1"/>
  <c r="AH5" i="4"/>
  <c r="L3" i="11" s="1"/>
  <c r="L7" i="11" s="1"/>
  <c r="AM5" i="10"/>
  <c r="Q5" i="11" s="1"/>
  <c r="Q9" i="11" s="1"/>
  <c r="AL5" i="2"/>
  <c r="P2" i="11" s="1"/>
  <c r="P6" i="11" s="1"/>
  <c r="AE5" i="2"/>
  <c r="I2" i="11" s="1"/>
  <c r="I6" i="11" s="1"/>
  <c r="AD5" i="10"/>
  <c r="H5" i="11" s="1"/>
  <c r="H9" i="11" s="1"/>
  <c r="AD5" i="4"/>
  <c r="H3" i="11" s="1"/>
  <c r="H7" i="11" s="1"/>
  <c r="AE5" i="4"/>
  <c r="I3" i="11" s="1"/>
  <c r="I7" i="11" s="1"/>
  <c r="AK5" i="4"/>
  <c r="O3" i="11" s="1"/>
  <c r="O7" i="11" s="1"/>
  <c r="AG5" i="4"/>
  <c r="K3" i="11" s="1"/>
  <c r="K7" i="11" s="1"/>
  <c r="Z5" i="4"/>
  <c r="D3" i="11" s="1"/>
  <c r="D7" i="11" s="1"/>
  <c r="AF5" i="10"/>
  <c r="J5" i="11" s="1"/>
  <c r="J9" i="11" s="1"/>
  <c r="AK5" i="10"/>
  <c r="O5" i="11" s="1"/>
  <c r="O9" i="11" s="1"/>
  <c r="AE5" i="10"/>
  <c r="I5" i="11" s="1"/>
  <c r="I9" i="11" s="1"/>
  <c r="X4" i="7"/>
  <c r="AG5" i="7" s="1"/>
  <c r="K4" i="11" s="1"/>
  <c r="K8" i="11" s="1"/>
  <c r="AK5" i="2"/>
  <c r="O2" i="11" s="1"/>
  <c r="O6" i="11" s="1"/>
  <c r="AG5" i="2"/>
  <c r="K2" i="11" s="1"/>
  <c r="K6" i="11" s="1"/>
  <c r="Y5" i="4"/>
  <c r="C3" i="11" s="1"/>
  <c r="C7" i="11" s="1"/>
  <c r="AM5" i="4"/>
  <c r="Q3" i="11" s="1"/>
  <c r="Q7" i="11" s="1"/>
  <c r="AJ5" i="10"/>
  <c r="N5" i="11" s="1"/>
  <c r="N9" i="11" s="1"/>
  <c r="AC5" i="4"/>
  <c r="G3" i="11" s="1"/>
  <c r="G7" i="11" s="1"/>
  <c r="AG5" i="10"/>
  <c r="K5" i="11" s="1"/>
  <c r="K9" i="11" s="1"/>
  <c r="AF5" i="4"/>
  <c r="J3" i="11" s="1"/>
  <c r="J7" i="11" s="1"/>
  <c r="Y5" i="10"/>
  <c r="C5" i="11" s="1"/>
  <c r="C9" i="11" s="1"/>
  <c r="AB5" i="7"/>
  <c r="F4" i="11" s="1"/>
  <c r="F8" i="11" s="1"/>
  <c r="AO5" i="7"/>
  <c r="S4" i="11" s="1"/>
  <c r="S8" i="11" s="1"/>
  <c r="AM5" i="2"/>
  <c r="Q2" i="11" s="1"/>
  <c r="Q6" i="11" s="1"/>
  <c r="AN5" i="2"/>
  <c r="R2" i="11" s="1"/>
  <c r="R6" i="11" s="1"/>
  <c r="AD5" i="2"/>
  <c r="H2" i="11" s="1"/>
  <c r="H6" i="11" s="1"/>
  <c r="Z5" i="2"/>
  <c r="D2" i="11" s="1"/>
  <c r="D6" i="11" s="1"/>
  <c r="AC5" i="7" l="1"/>
  <c r="G4" i="11" s="1"/>
  <c r="G8" i="11" s="1"/>
  <c r="AD5" i="7"/>
  <c r="H4" i="11" s="1"/>
  <c r="H8" i="11" s="1"/>
  <c r="AE5" i="7"/>
  <c r="I4" i="11" s="1"/>
  <c r="I8" i="11" s="1"/>
  <c r="H10" i="11"/>
  <c r="Z5" i="7"/>
  <c r="D4" i="11" s="1"/>
  <c r="D8" i="11" s="1"/>
  <c r="AL5" i="7"/>
  <c r="P4" i="11" s="1"/>
  <c r="P8" i="11" s="1"/>
  <c r="Y5" i="7"/>
  <c r="C4" i="11" s="1"/>
  <c r="C8" i="11" s="1"/>
  <c r="P10" i="11"/>
  <c r="G10" i="11"/>
  <c r="AF5" i="7"/>
  <c r="J4" i="11" s="1"/>
  <c r="J8" i="11" s="1"/>
  <c r="AH5" i="2"/>
  <c r="L2" i="11" s="1"/>
  <c r="L6" i="11" s="1"/>
  <c r="AN5" i="7"/>
  <c r="R4" i="11" s="1"/>
  <c r="R8" i="11" s="1"/>
  <c r="R10" i="11" s="1"/>
  <c r="D10" i="11"/>
  <c r="K10" i="11"/>
  <c r="AJ5" i="7"/>
  <c r="N4" i="11" s="1"/>
  <c r="N8" i="11" s="1"/>
  <c r="N10" i="11" s="1"/>
  <c r="AB5" i="2"/>
  <c r="F2" i="11" s="1"/>
  <c r="F6" i="11" s="1"/>
  <c r="F10" i="11" s="1"/>
  <c r="AK5" i="7"/>
  <c r="O4" i="11" s="1"/>
  <c r="O8" i="11" s="1"/>
  <c r="Y5" i="2"/>
  <c r="C2" i="11" s="1"/>
  <c r="C6" i="11" s="1"/>
  <c r="C10" i="11" s="1"/>
  <c r="AF5" i="2"/>
  <c r="J2" i="11" s="1"/>
  <c r="J6" i="11" s="1"/>
  <c r="J10" i="11" s="1"/>
  <c r="AM5" i="7"/>
  <c r="Q4" i="11" s="1"/>
  <c r="Q8" i="11" s="1"/>
  <c r="Q10" i="11" s="1"/>
  <c r="O10" i="11"/>
  <c r="AH5" i="7"/>
  <c r="L4" i="11" s="1"/>
  <c r="L8" i="11" s="1"/>
  <c r="S10" i="11"/>
  <c r="AA5" i="7"/>
  <c r="E4" i="11" s="1"/>
  <c r="E8" i="11" s="1"/>
  <c r="I10" i="11"/>
  <c r="AA5" i="2"/>
  <c r="E2" i="11" s="1"/>
  <c r="E6" i="11" s="1"/>
  <c r="AI5" i="7"/>
  <c r="M4" i="11" s="1"/>
  <c r="M8" i="11" s="1"/>
  <c r="AI5" i="2"/>
  <c r="M2" i="11" s="1"/>
  <c r="M6" i="11" s="1"/>
  <c r="E10" i="11" l="1"/>
  <c r="M10" i="11"/>
  <c r="L10" i="11"/>
</calcChain>
</file>

<file path=xl/sharedStrings.xml><?xml version="1.0" encoding="utf-8"?>
<sst xmlns="http://schemas.openxmlformats.org/spreadsheetml/2006/main" count="84" uniqueCount="62">
  <si>
    <t>Seeds</t>
  </si>
  <si>
    <t>Qualifiers</t>
  </si>
  <si>
    <t>Hide</t>
  </si>
  <si>
    <t>HIDE</t>
  </si>
  <si>
    <t>Champion:</t>
  </si>
  <si>
    <t>Nadal1</t>
  </si>
  <si>
    <t>Djokovic1</t>
  </si>
  <si>
    <t>Federer1</t>
  </si>
  <si>
    <t>Borg1</t>
  </si>
  <si>
    <t>Lendl1</t>
  </si>
  <si>
    <t>Wilander1</t>
  </si>
  <si>
    <t>Vilas1</t>
  </si>
  <si>
    <t>Murray1</t>
  </si>
  <si>
    <t>Wawrinka1</t>
  </si>
  <si>
    <t>Courier1</t>
  </si>
  <si>
    <t>Kuerten1</t>
  </si>
  <si>
    <t>Agassi1</t>
  </si>
  <si>
    <t>Connors1</t>
  </si>
  <si>
    <t>Edberg1</t>
  </si>
  <si>
    <t>Becker1</t>
  </si>
  <si>
    <t>McEnroe1</t>
  </si>
  <si>
    <t>Kuerten</t>
  </si>
  <si>
    <t>Federer2</t>
  </si>
  <si>
    <t>Connors2</t>
  </si>
  <si>
    <t>Djokovic2</t>
  </si>
  <si>
    <t>Becker2</t>
  </si>
  <si>
    <t>Borg2</t>
  </si>
  <si>
    <t>Murray2</t>
  </si>
  <si>
    <t>Sampras2</t>
  </si>
  <si>
    <t>McEnroe2</t>
  </si>
  <si>
    <t>Nadal2</t>
  </si>
  <si>
    <t>Agassi2</t>
  </si>
  <si>
    <t>Lendl2</t>
  </si>
  <si>
    <t>Wilander2</t>
  </si>
  <si>
    <t>Wawrinka2</t>
  </si>
  <si>
    <t>Vilas2</t>
  </si>
  <si>
    <t>Courier2</t>
  </si>
  <si>
    <t>Edberg2</t>
  </si>
  <si>
    <t>Connors3</t>
  </si>
  <si>
    <t>Federer3</t>
  </si>
  <si>
    <t>Lendl3</t>
  </si>
  <si>
    <t>Sampras3</t>
  </si>
  <si>
    <t>Djokovic3</t>
  </si>
  <si>
    <t>Agassi3</t>
  </si>
  <si>
    <t>McEnroe3</t>
  </si>
  <si>
    <t>Nadal3</t>
  </si>
  <si>
    <t>Borg3</t>
  </si>
  <si>
    <t>Murray3</t>
  </si>
  <si>
    <t>Edberg3</t>
  </si>
  <si>
    <t>Wilander3</t>
  </si>
  <si>
    <t>Wawrinka3</t>
  </si>
  <si>
    <t>Becker3</t>
  </si>
  <si>
    <t>Vilas3</t>
  </si>
  <si>
    <t>Courier3</t>
  </si>
  <si>
    <t>Player</t>
  </si>
  <si>
    <t>Australian</t>
  </si>
  <si>
    <t>Percentage</t>
  </si>
  <si>
    <t>French</t>
  </si>
  <si>
    <t>Wimbledon</t>
  </si>
  <si>
    <t>US Open</t>
  </si>
  <si>
    <t>Wins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</si>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</sst>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%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8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9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65" fontId="6" fillId="0" borderId="0" xfId="9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Normal" xfId="0" builtinId="0"/>
    <cellStyle name="Percent" xfId="9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eatest%20of%20All%20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Timeline"/>
      <sheetName val="Ranking"/>
      <sheetName val="Main Stats"/>
      <sheetName val="By Year"/>
      <sheetName val="Year"/>
      <sheetName val="By Tournament"/>
      <sheetName val="Tournament"/>
      <sheetName val="By Age"/>
      <sheetName val="Age"/>
      <sheetName val="By Date"/>
      <sheetName val="Date"/>
      <sheetName val="A1"/>
      <sheetName val="Australian"/>
      <sheetName val="F1"/>
      <sheetName val="Roland Garros"/>
      <sheetName val="W1"/>
      <sheetName val="Wimbledon"/>
      <sheetName val="U1"/>
      <sheetName val="US Open"/>
    </sheetNames>
    <sheetDataSet>
      <sheetData sheetId="0">
        <row r="3">
          <cell r="C3" t="str">
            <v>Federer</v>
          </cell>
          <cell r="E3">
            <v>9</v>
          </cell>
          <cell r="F3">
            <v>78</v>
          </cell>
          <cell r="G3">
            <v>65</v>
          </cell>
          <cell r="H3">
            <v>32</v>
          </cell>
          <cell r="I3">
            <v>341</v>
          </cell>
          <cell r="J3">
            <v>174</v>
          </cell>
          <cell r="K3">
            <v>431</v>
          </cell>
          <cell r="L3">
            <v>556</v>
          </cell>
          <cell r="M3">
            <v>308</v>
          </cell>
          <cell r="N3">
            <v>434</v>
          </cell>
          <cell r="O3">
            <v>592</v>
          </cell>
          <cell r="P3">
            <v>306</v>
          </cell>
          <cell r="Q3">
            <v>213</v>
          </cell>
          <cell r="R3">
            <v>368</v>
          </cell>
          <cell r="S3">
            <v>228</v>
          </cell>
          <cell r="T3">
            <v>59</v>
          </cell>
          <cell r="U3">
            <v>337</v>
          </cell>
          <cell r="V3">
            <v>474</v>
          </cell>
          <cell r="W3">
            <v>452</v>
          </cell>
          <cell r="X3">
            <v>0</v>
          </cell>
          <cell r="Y3">
            <v>0</v>
          </cell>
          <cell r="Z3">
            <v>0</v>
          </cell>
        </row>
        <row r="4">
          <cell r="C4" t="str">
            <v>Federer1</v>
          </cell>
          <cell r="D4">
            <v>-3</v>
          </cell>
          <cell r="E4">
            <v>23</v>
          </cell>
          <cell r="F4">
            <v>51</v>
          </cell>
          <cell r="G4">
            <v>-45</v>
          </cell>
          <cell r="H4">
            <v>-88</v>
          </cell>
          <cell r="I4">
            <v>39</v>
          </cell>
          <cell r="J4">
            <v>212</v>
          </cell>
          <cell r="K4">
            <v>363</v>
          </cell>
          <cell r="L4">
            <v>378</v>
          </cell>
          <cell r="M4">
            <v>344</v>
          </cell>
          <cell r="N4">
            <v>473</v>
          </cell>
          <cell r="O4">
            <v>149</v>
          </cell>
          <cell r="P4">
            <v>434</v>
          </cell>
          <cell r="Q4">
            <v>152</v>
          </cell>
          <cell r="R4">
            <v>161</v>
          </cell>
          <cell r="S4">
            <v>65</v>
          </cell>
          <cell r="T4">
            <v>145</v>
          </cell>
          <cell r="X4">
            <v>0</v>
          </cell>
          <cell r="Y4">
            <v>0</v>
          </cell>
          <cell r="Z4">
            <v>0</v>
          </cell>
        </row>
        <row r="5">
          <cell r="C5" t="str">
            <v>Federer2</v>
          </cell>
          <cell r="D5">
            <v>-58</v>
          </cell>
          <cell r="E5">
            <v>-5</v>
          </cell>
          <cell r="F5">
            <v>234</v>
          </cell>
          <cell r="G5">
            <v>-99</v>
          </cell>
          <cell r="H5">
            <v>467</v>
          </cell>
          <cell r="I5">
            <v>372</v>
          </cell>
          <cell r="J5">
            <v>519</v>
          </cell>
          <cell r="K5">
            <v>478</v>
          </cell>
          <cell r="L5">
            <v>535</v>
          </cell>
          <cell r="M5">
            <v>297</v>
          </cell>
          <cell r="N5">
            <v>551</v>
          </cell>
          <cell r="O5">
            <v>137</v>
          </cell>
          <cell r="P5">
            <v>236</v>
          </cell>
          <cell r="Q5">
            <v>504</v>
          </cell>
          <cell r="R5">
            <v>-47</v>
          </cell>
          <cell r="S5">
            <v>376</v>
          </cell>
          <cell r="T5">
            <v>401</v>
          </cell>
          <cell r="U5">
            <v>233</v>
          </cell>
          <cell r="V5">
            <v>516</v>
          </cell>
          <cell r="W5">
            <v>185</v>
          </cell>
          <cell r="X5">
            <v>0</v>
          </cell>
          <cell r="Y5">
            <v>0</v>
          </cell>
          <cell r="Z5">
            <v>0</v>
          </cell>
        </row>
        <row r="6">
          <cell r="C6" t="str">
            <v>Federer3</v>
          </cell>
          <cell r="E6">
            <v>-10</v>
          </cell>
          <cell r="F6">
            <v>103</v>
          </cell>
          <cell r="G6">
            <v>51</v>
          </cell>
          <cell r="H6">
            <v>83</v>
          </cell>
          <cell r="I6">
            <v>545</v>
          </cell>
          <cell r="J6">
            <v>511</v>
          </cell>
          <cell r="K6">
            <v>405</v>
          </cell>
          <cell r="L6">
            <v>381</v>
          </cell>
          <cell r="M6">
            <v>393</v>
          </cell>
          <cell r="N6">
            <v>401</v>
          </cell>
          <cell r="O6">
            <v>205</v>
          </cell>
          <cell r="P6">
            <v>298</v>
          </cell>
          <cell r="Q6">
            <v>115</v>
          </cell>
          <cell r="R6">
            <v>108</v>
          </cell>
          <cell r="S6">
            <v>252</v>
          </cell>
          <cell r="T6">
            <v>470</v>
          </cell>
          <cell r="V6">
            <v>153</v>
          </cell>
        </row>
        <row r="7">
          <cell r="D7">
            <v>-61</v>
          </cell>
          <cell r="E7">
            <v>17</v>
          </cell>
          <cell r="F7">
            <v>466</v>
          </cell>
          <cell r="G7">
            <v>-28</v>
          </cell>
          <cell r="H7">
            <v>494</v>
          </cell>
          <cell r="I7">
            <v>1297</v>
          </cell>
          <cell r="J7">
            <v>1416</v>
          </cell>
          <cell r="K7">
            <v>1677</v>
          </cell>
          <cell r="L7">
            <v>1850</v>
          </cell>
          <cell r="M7">
            <v>1342</v>
          </cell>
          <cell r="N7">
            <v>1859</v>
          </cell>
          <cell r="O7">
            <v>1083</v>
          </cell>
          <cell r="P7">
            <v>1274</v>
          </cell>
          <cell r="Q7">
            <v>984</v>
          </cell>
          <cell r="R7">
            <v>590</v>
          </cell>
          <cell r="S7">
            <v>921</v>
          </cell>
          <cell r="T7">
            <v>1075</v>
          </cell>
          <cell r="U7">
            <v>570</v>
          </cell>
          <cell r="V7">
            <v>1143</v>
          </cell>
          <cell r="W7">
            <v>637</v>
          </cell>
          <cell r="X7">
            <v>0</v>
          </cell>
          <cell r="Y7">
            <v>0</v>
          </cell>
          <cell r="Z7">
            <v>0</v>
          </cell>
        </row>
        <row r="8">
          <cell r="C8" t="str">
            <v>Nadal</v>
          </cell>
          <cell r="D8">
            <v>0</v>
          </cell>
          <cell r="E8">
            <v>-1</v>
          </cell>
          <cell r="F8">
            <v>118</v>
          </cell>
          <cell r="G8">
            <v>0</v>
          </cell>
          <cell r="H8">
            <v>203</v>
          </cell>
          <cell r="I8">
            <v>183</v>
          </cell>
          <cell r="J8">
            <v>469</v>
          </cell>
          <cell r="K8">
            <v>204</v>
          </cell>
          <cell r="L8">
            <v>107</v>
          </cell>
          <cell r="M8">
            <v>304</v>
          </cell>
          <cell r="N8">
            <v>0</v>
          </cell>
          <cell r="O8">
            <v>397</v>
          </cell>
          <cell r="P8">
            <v>152</v>
          </cell>
          <cell r="Q8">
            <v>-45</v>
          </cell>
          <cell r="R8">
            <v>480</v>
          </cell>
          <cell r="S8">
            <v>231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</row>
        <row r="9">
          <cell r="C9" t="str">
            <v>Nadal1</v>
          </cell>
          <cell r="D9">
            <v>0</v>
          </cell>
          <cell r="E9">
            <v>0</v>
          </cell>
          <cell r="F9">
            <v>497</v>
          </cell>
          <cell r="G9">
            <v>453</v>
          </cell>
          <cell r="H9">
            <v>498</v>
          </cell>
          <cell r="I9">
            <v>481</v>
          </cell>
          <cell r="J9">
            <v>58</v>
          </cell>
          <cell r="K9">
            <v>509</v>
          </cell>
          <cell r="L9">
            <v>515</v>
          </cell>
          <cell r="M9">
            <v>477</v>
          </cell>
          <cell r="N9">
            <v>552</v>
          </cell>
          <cell r="O9">
            <v>432</v>
          </cell>
          <cell r="P9">
            <v>85</v>
          </cell>
          <cell r="Q9">
            <v>-54</v>
          </cell>
          <cell r="R9">
            <v>550</v>
          </cell>
          <cell r="S9">
            <v>453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</row>
        <row r="10">
          <cell r="C10" t="str">
            <v>Nadal2</v>
          </cell>
          <cell r="D10">
            <v>15</v>
          </cell>
          <cell r="E10">
            <v>0</v>
          </cell>
          <cell r="F10">
            <v>-8</v>
          </cell>
          <cell r="G10">
            <v>267</v>
          </cell>
          <cell r="H10">
            <v>466</v>
          </cell>
          <cell r="I10">
            <v>452</v>
          </cell>
          <cell r="J10">
            <v>0</v>
          </cell>
          <cell r="K10">
            <v>431</v>
          </cell>
          <cell r="L10">
            <v>332</v>
          </cell>
          <cell r="M10">
            <v>-79</v>
          </cell>
          <cell r="N10">
            <v>-99</v>
          </cell>
          <cell r="O10">
            <v>35</v>
          </cell>
          <cell r="P10">
            <v>-41</v>
          </cell>
          <cell r="Q10">
            <v>0</v>
          </cell>
          <cell r="R10">
            <v>112</v>
          </cell>
          <cell r="S10">
            <v>154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</row>
        <row r="11">
          <cell r="C11" t="str">
            <v>Nadal3</v>
          </cell>
          <cell r="D11">
            <v>17</v>
          </cell>
          <cell r="E11">
            <v>-1</v>
          </cell>
          <cell r="F11">
            <v>-49</v>
          </cell>
          <cell r="G11">
            <v>15</v>
          </cell>
          <cell r="H11">
            <v>56</v>
          </cell>
          <cell r="I11">
            <v>155</v>
          </cell>
          <cell r="J11">
            <v>313</v>
          </cell>
          <cell r="K11">
            <v>530</v>
          </cell>
          <cell r="L11">
            <v>262</v>
          </cell>
          <cell r="M11">
            <v>0</v>
          </cell>
          <cell r="N11">
            <v>464</v>
          </cell>
          <cell r="O11">
            <v>0</v>
          </cell>
          <cell r="P11">
            <v>61</v>
          </cell>
          <cell r="Q11">
            <v>43</v>
          </cell>
          <cell r="R11">
            <v>298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</row>
        <row r="12">
          <cell r="D12">
            <v>32</v>
          </cell>
          <cell r="E12">
            <v>-2</v>
          </cell>
          <cell r="F12">
            <v>558</v>
          </cell>
          <cell r="G12">
            <v>735</v>
          </cell>
          <cell r="H12">
            <v>1223</v>
          </cell>
          <cell r="I12">
            <v>1271</v>
          </cell>
          <cell r="J12">
            <v>840</v>
          </cell>
          <cell r="K12">
            <v>1674</v>
          </cell>
          <cell r="L12">
            <v>1216</v>
          </cell>
          <cell r="M12">
            <v>702</v>
          </cell>
          <cell r="N12">
            <v>917</v>
          </cell>
          <cell r="O12">
            <v>864</v>
          </cell>
          <cell r="P12">
            <v>257</v>
          </cell>
          <cell r="Q12">
            <v>-56</v>
          </cell>
          <cell r="R12">
            <v>1440</v>
          </cell>
          <cell r="S12">
            <v>838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</row>
        <row r="13">
          <cell r="C13" t="str">
            <v>Sampras</v>
          </cell>
          <cell r="D13">
            <v>0</v>
          </cell>
          <cell r="E13">
            <v>-81</v>
          </cell>
          <cell r="F13">
            <v>149</v>
          </cell>
          <cell r="G13">
            <v>0</v>
          </cell>
          <cell r="H13">
            <v>0</v>
          </cell>
          <cell r="I13">
            <v>273</v>
          </cell>
          <cell r="J13">
            <v>478</v>
          </cell>
          <cell r="K13">
            <v>306</v>
          </cell>
          <cell r="L13">
            <v>-28</v>
          </cell>
          <cell r="M13">
            <v>459</v>
          </cell>
          <cell r="N13">
            <v>156</v>
          </cell>
          <cell r="O13">
            <v>0</v>
          </cell>
          <cell r="P13">
            <v>122</v>
          </cell>
          <cell r="Q13">
            <v>50</v>
          </cell>
          <cell r="R13">
            <v>146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</row>
        <row r="14">
          <cell r="C14" t="str">
            <v>Sampras1</v>
          </cell>
          <cell r="D14">
            <v>0</v>
          </cell>
          <cell r="E14">
            <v>-14</v>
          </cell>
          <cell r="F14">
            <v>0</v>
          </cell>
          <cell r="G14">
            <v>-34</v>
          </cell>
          <cell r="H14">
            <v>147</v>
          </cell>
          <cell r="I14">
            <v>285</v>
          </cell>
          <cell r="J14">
            <v>81</v>
          </cell>
          <cell r="K14">
            <v>-24</v>
          </cell>
          <cell r="L14">
            <v>333</v>
          </cell>
          <cell r="M14">
            <v>47</v>
          </cell>
          <cell r="N14">
            <v>-30</v>
          </cell>
          <cell r="O14">
            <v>-91</v>
          </cell>
          <cell r="P14">
            <v>-25</v>
          </cell>
          <cell r="Q14">
            <v>-26</v>
          </cell>
          <cell r="R14">
            <v>-69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</row>
        <row r="15">
          <cell r="C15" t="str">
            <v>Sampras2</v>
          </cell>
          <cell r="D15">
            <v>0</v>
          </cell>
          <cell r="E15">
            <v>-99</v>
          </cell>
          <cell r="F15">
            <v>-41</v>
          </cell>
          <cell r="G15">
            <v>-23</v>
          </cell>
          <cell r="H15">
            <v>291</v>
          </cell>
          <cell r="I15">
            <v>380</v>
          </cell>
          <cell r="J15">
            <v>515</v>
          </cell>
          <cell r="K15">
            <v>313</v>
          </cell>
          <cell r="L15">
            <v>224</v>
          </cell>
          <cell r="M15">
            <v>397</v>
          </cell>
          <cell r="N15">
            <v>464</v>
          </cell>
          <cell r="O15">
            <v>373</v>
          </cell>
          <cell r="P15">
            <v>279</v>
          </cell>
          <cell r="Q15">
            <v>31</v>
          </cell>
          <cell r="R15">
            <v>-98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</row>
        <row r="16">
          <cell r="C16" t="str">
            <v>Sampras3</v>
          </cell>
          <cell r="D16">
            <v>-69</v>
          </cell>
          <cell r="E16">
            <v>157</v>
          </cell>
          <cell r="F16">
            <v>503</v>
          </cell>
          <cell r="G16">
            <v>126</v>
          </cell>
          <cell r="H16">
            <v>297</v>
          </cell>
          <cell r="I16">
            <v>478</v>
          </cell>
          <cell r="J16">
            <v>25</v>
          </cell>
          <cell r="K16">
            <v>434</v>
          </cell>
          <cell r="L16">
            <v>467</v>
          </cell>
          <cell r="M16">
            <v>6</v>
          </cell>
          <cell r="N16">
            <v>179</v>
          </cell>
          <cell r="O16">
            <v>0</v>
          </cell>
          <cell r="P16">
            <v>264</v>
          </cell>
          <cell r="Q16">
            <v>396</v>
          </cell>
          <cell r="R16">
            <v>512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</row>
        <row r="17">
          <cell r="D17">
            <v>-69</v>
          </cell>
          <cell r="E17">
            <v>-37</v>
          </cell>
          <cell r="F17">
            <v>611</v>
          </cell>
          <cell r="G17">
            <v>69</v>
          </cell>
          <cell r="H17">
            <v>735</v>
          </cell>
          <cell r="I17">
            <v>1416</v>
          </cell>
          <cell r="J17">
            <v>1099</v>
          </cell>
          <cell r="K17">
            <v>1029</v>
          </cell>
          <cell r="L17">
            <v>996</v>
          </cell>
          <cell r="M17">
            <v>909</v>
          </cell>
          <cell r="N17">
            <v>769</v>
          </cell>
          <cell r="O17">
            <v>282</v>
          </cell>
          <cell r="P17">
            <v>640</v>
          </cell>
          <cell r="Q17">
            <v>451</v>
          </cell>
          <cell r="R17">
            <v>491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</row>
        <row r="18">
          <cell r="C18" t="str">
            <v>Djokovic</v>
          </cell>
          <cell r="D18">
            <v>-4</v>
          </cell>
          <cell r="E18">
            <v>-68</v>
          </cell>
          <cell r="F18">
            <v>78</v>
          </cell>
          <cell r="G18">
            <v>474</v>
          </cell>
          <cell r="H18">
            <v>40</v>
          </cell>
          <cell r="I18">
            <v>83</v>
          </cell>
          <cell r="J18">
            <v>571</v>
          </cell>
          <cell r="K18">
            <v>404</v>
          </cell>
          <cell r="L18">
            <v>570</v>
          </cell>
          <cell r="M18">
            <v>144</v>
          </cell>
          <cell r="N18">
            <v>472</v>
          </cell>
          <cell r="O18">
            <v>545</v>
          </cell>
          <cell r="P18">
            <v>-39</v>
          </cell>
          <cell r="Q18">
            <v>119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</row>
        <row r="19">
          <cell r="C19" t="str">
            <v>Djokovic1</v>
          </cell>
          <cell r="D19">
            <v>21</v>
          </cell>
          <cell r="E19">
            <v>305</v>
          </cell>
          <cell r="F19">
            <v>91</v>
          </cell>
          <cell r="G19">
            <v>160</v>
          </cell>
          <cell r="H19">
            <v>-27</v>
          </cell>
          <cell r="I19">
            <v>87</v>
          </cell>
          <cell r="J19">
            <v>299</v>
          </cell>
          <cell r="K19">
            <v>303</v>
          </cell>
          <cell r="L19">
            <v>322</v>
          </cell>
          <cell r="M19">
            <v>479</v>
          </cell>
          <cell r="N19">
            <v>352</v>
          </cell>
          <cell r="O19">
            <v>454</v>
          </cell>
          <cell r="P19">
            <v>208</v>
          </cell>
          <cell r="Q19">
            <v>97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</row>
        <row r="20">
          <cell r="C20" t="str">
            <v>Djokovic2</v>
          </cell>
          <cell r="D20">
            <v>42</v>
          </cell>
          <cell r="E20">
            <v>176</v>
          </cell>
          <cell r="F20">
            <v>291</v>
          </cell>
          <cell r="G20">
            <v>-66</v>
          </cell>
          <cell r="H20">
            <v>132</v>
          </cell>
          <cell r="I20">
            <v>206</v>
          </cell>
          <cell r="J20">
            <v>495</v>
          </cell>
          <cell r="K20">
            <v>328</v>
          </cell>
          <cell r="L20">
            <v>439</v>
          </cell>
          <cell r="M20">
            <v>557</v>
          </cell>
          <cell r="N20">
            <v>552</v>
          </cell>
          <cell r="O20">
            <v>18</v>
          </cell>
          <cell r="P20">
            <v>103</v>
          </cell>
          <cell r="Q20">
            <v>499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</row>
        <row r="21">
          <cell r="C21" t="str">
            <v>Djokovic3</v>
          </cell>
          <cell r="D21">
            <v>87</v>
          </cell>
          <cell r="E21">
            <v>26</v>
          </cell>
          <cell r="F21">
            <v>383</v>
          </cell>
          <cell r="G21">
            <v>287</v>
          </cell>
          <cell r="H21">
            <v>237</v>
          </cell>
          <cell r="I21">
            <v>393</v>
          </cell>
          <cell r="J21">
            <v>491</v>
          </cell>
          <cell r="K21">
            <v>399</v>
          </cell>
          <cell r="L21">
            <v>274</v>
          </cell>
          <cell r="M21">
            <v>263</v>
          </cell>
          <cell r="N21">
            <v>530</v>
          </cell>
          <cell r="O21">
            <v>315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</row>
        <row r="22">
          <cell r="D22">
            <v>146</v>
          </cell>
          <cell r="E22">
            <v>439</v>
          </cell>
          <cell r="F22">
            <v>843</v>
          </cell>
          <cell r="G22">
            <v>855</v>
          </cell>
          <cell r="H22">
            <v>382</v>
          </cell>
          <cell r="I22">
            <v>769</v>
          </cell>
          <cell r="J22">
            <v>1856</v>
          </cell>
          <cell r="K22">
            <v>1434</v>
          </cell>
          <cell r="L22">
            <v>1605</v>
          </cell>
          <cell r="M22">
            <v>1443</v>
          </cell>
          <cell r="N22">
            <v>1906</v>
          </cell>
          <cell r="O22">
            <v>1332</v>
          </cell>
          <cell r="P22">
            <v>272</v>
          </cell>
          <cell r="Q22">
            <v>715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</row>
        <row r="23">
          <cell r="C23" t="str">
            <v>Borg</v>
          </cell>
          <cell r="D23">
            <v>0</v>
          </cell>
          <cell r="E23">
            <v>32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</row>
        <row r="24">
          <cell r="C24" t="str">
            <v>Borg1</v>
          </cell>
          <cell r="D24">
            <v>171</v>
          </cell>
          <cell r="E24">
            <v>349</v>
          </cell>
          <cell r="F24">
            <v>428</v>
          </cell>
          <cell r="G24">
            <v>134</v>
          </cell>
          <cell r="H24">
            <v>0</v>
          </cell>
          <cell r="I24">
            <v>484</v>
          </cell>
          <cell r="J24">
            <v>314</v>
          </cell>
          <cell r="K24">
            <v>469</v>
          </cell>
          <cell r="L24">
            <v>351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</row>
        <row r="25">
          <cell r="C25" t="str">
            <v>Borg2</v>
          </cell>
          <cell r="D25">
            <v>91</v>
          </cell>
          <cell r="E25">
            <v>9</v>
          </cell>
          <cell r="F25">
            <v>184</v>
          </cell>
          <cell r="G25">
            <v>466</v>
          </cell>
          <cell r="H25">
            <v>572</v>
          </cell>
          <cell r="I25">
            <v>442</v>
          </cell>
          <cell r="J25">
            <v>539</v>
          </cell>
          <cell r="K25">
            <v>470</v>
          </cell>
          <cell r="L25">
            <v>519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</row>
        <row r="26">
          <cell r="C26" t="str">
            <v>Borg3</v>
          </cell>
          <cell r="D26">
            <v>96</v>
          </cell>
          <cell r="E26">
            <v>-38</v>
          </cell>
          <cell r="F26">
            <v>317</v>
          </cell>
          <cell r="G26">
            <v>390</v>
          </cell>
          <cell r="H26">
            <v>3</v>
          </cell>
          <cell r="I26">
            <v>366</v>
          </cell>
          <cell r="J26">
            <v>81</v>
          </cell>
          <cell r="K26">
            <v>432</v>
          </cell>
          <cell r="L26">
            <v>306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</row>
        <row r="27">
          <cell r="D27">
            <v>358</v>
          </cell>
          <cell r="E27">
            <v>352</v>
          </cell>
          <cell r="F27">
            <v>929</v>
          </cell>
          <cell r="G27">
            <v>990</v>
          </cell>
          <cell r="H27">
            <v>575</v>
          </cell>
          <cell r="I27">
            <v>1292</v>
          </cell>
          <cell r="J27">
            <v>934</v>
          </cell>
          <cell r="K27">
            <v>1371</v>
          </cell>
          <cell r="L27">
            <v>1176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</row>
        <row r="28">
          <cell r="C28" t="str">
            <v>Connors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254</v>
          </cell>
          <cell r="I28">
            <v>147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</row>
        <row r="29">
          <cell r="C29" t="str">
            <v>Connors1</v>
          </cell>
          <cell r="D29">
            <v>0</v>
          </cell>
          <cell r="E29">
            <v>0</v>
          </cell>
          <cell r="F29">
            <v>-40</v>
          </cell>
          <cell r="G29">
            <v>-50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278</v>
          </cell>
          <cell r="N29">
            <v>245</v>
          </cell>
          <cell r="O29">
            <v>130</v>
          </cell>
          <cell r="P29">
            <v>171</v>
          </cell>
          <cell r="Q29">
            <v>155</v>
          </cell>
          <cell r="R29">
            <v>180</v>
          </cell>
          <cell r="S29">
            <v>223</v>
          </cell>
          <cell r="T29">
            <v>0</v>
          </cell>
          <cell r="U29">
            <v>12</v>
          </cell>
          <cell r="V29">
            <v>0</v>
          </cell>
          <cell r="W29">
            <v>10</v>
          </cell>
          <cell r="X29">
            <v>0</v>
          </cell>
          <cell r="Y29">
            <v>95</v>
          </cell>
          <cell r="Z29">
            <v>-4</v>
          </cell>
        </row>
        <row r="30">
          <cell r="C30" t="str">
            <v>Connors2</v>
          </cell>
          <cell r="D30">
            <v>0</v>
          </cell>
          <cell r="E30">
            <v>0</v>
          </cell>
          <cell r="F30">
            <v>262</v>
          </cell>
          <cell r="G30">
            <v>10</v>
          </cell>
          <cell r="H30">
            <v>563</v>
          </cell>
          <cell r="I30">
            <v>416</v>
          </cell>
          <cell r="J30">
            <v>91</v>
          </cell>
          <cell r="K30">
            <v>320</v>
          </cell>
          <cell r="L30">
            <v>435</v>
          </cell>
          <cell r="M30">
            <v>256</v>
          </cell>
          <cell r="N30">
            <v>257</v>
          </cell>
          <cell r="O30">
            <v>251</v>
          </cell>
          <cell r="P30">
            <v>466</v>
          </cell>
          <cell r="Q30">
            <v>85</v>
          </cell>
          <cell r="R30">
            <v>236</v>
          </cell>
          <cell r="S30">
            <v>149</v>
          </cell>
          <cell r="T30">
            <v>-27</v>
          </cell>
          <cell r="U30">
            <v>204</v>
          </cell>
          <cell r="V30">
            <v>-74</v>
          </cell>
          <cell r="W30">
            <v>-9</v>
          </cell>
          <cell r="X30">
            <v>0</v>
          </cell>
          <cell r="Y30">
            <v>59</v>
          </cell>
          <cell r="Z30">
            <v>-86</v>
          </cell>
        </row>
        <row r="31">
          <cell r="C31" t="str">
            <v>Connors3</v>
          </cell>
          <cell r="D31">
            <v>-18</v>
          </cell>
          <cell r="E31">
            <v>-43</v>
          </cell>
          <cell r="F31">
            <v>-15</v>
          </cell>
          <cell r="G31">
            <v>206</v>
          </cell>
          <cell r="H31">
            <v>557</v>
          </cell>
          <cell r="I31">
            <v>389</v>
          </cell>
          <cell r="J31">
            <v>448</v>
          </cell>
          <cell r="K31">
            <v>363</v>
          </cell>
          <cell r="L31">
            <v>492</v>
          </cell>
          <cell r="M31">
            <v>272</v>
          </cell>
          <cell r="N31">
            <v>249</v>
          </cell>
          <cell r="O31">
            <v>169</v>
          </cell>
          <cell r="P31">
            <v>450</v>
          </cell>
          <cell r="Q31">
            <v>476</v>
          </cell>
          <cell r="R31">
            <v>280</v>
          </cell>
          <cell r="S31">
            <v>226</v>
          </cell>
          <cell r="T31">
            <v>-70</v>
          </cell>
          <cell r="U31">
            <v>237</v>
          </cell>
          <cell r="V31">
            <v>41</v>
          </cell>
          <cell r="W31">
            <v>173</v>
          </cell>
          <cell r="Y31">
            <v>280</v>
          </cell>
          <cell r="Z31">
            <v>38</v>
          </cell>
        </row>
        <row r="32">
          <cell r="D32">
            <v>-18</v>
          </cell>
          <cell r="E32">
            <v>-43</v>
          </cell>
          <cell r="F32">
            <v>207</v>
          </cell>
          <cell r="G32">
            <v>166</v>
          </cell>
          <cell r="H32">
            <v>1374</v>
          </cell>
          <cell r="I32">
            <v>952</v>
          </cell>
          <cell r="J32">
            <v>539</v>
          </cell>
          <cell r="K32">
            <v>683</v>
          </cell>
          <cell r="L32">
            <v>927</v>
          </cell>
          <cell r="M32">
            <v>806</v>
          </cell>
          <cell r="N32">
            <v>751</v>
          </cell>
          <cell r="O32">
            <v>550</v>
          </cell>
          <cell r="P32">
            <v>1087</v>
          </cell>
          <cell r="Q32">
            <v>716</v>
          </cell>
          <cell r="R32">
            <v>696</v>
          </cell>
          <cell r="S32">
            <v>598</v>
          </cell>
          <cell r="T32">
            <v>-97</v>
          </cell>
          <cell r="U32">
            <v>453</v>
          </cell>
          <cell r="V32">
            <v>-33</v>
          </cell>
          <cell r="W32">
            <v>174</v>
          </cell>
          <cell r="X32">
            <v>0</v>
          </cell>
          <cell r="Y32">
            <v>434</v>
          </cell>
          <cell r="Z32">
            <v>-52</v>
          </cell>
        </row>
        <row r="33">
          <cell r="C33" t="str">
            <v>Lendl</v>
          </cell>
          <cell r="D33">
            <v>0</v>
          </cell>
          <cell r="E33">
            <v>0</v>
          </cell>
          <cell r="F33">
            <v>42</v>
          </cell>
          <cell r="G33">
            <v>0</v>
          </cell>
          <cell r="H33">
            <v>0</v>
          </cell>
          <cell r="I33">
            <v>341</v>
          </cell>
          <cell r="J33">
            <v>126</v>
          </cell>
          <cell r="K33">
            <v>133</v>
          </cell>
          <cell r="L33">
            <v>0</v>
          </cell>
          <cell r="M33">
            <v>141</v>
          </cell>
          <cell r="N33">
            <v>151</v>
          </cell>
          <cell r="O33">
            <v>444</v>
          </cell>
          <cell r="P33">
            <v>365</v>
          </cell>
          <cell r="Q33">
            <v>371</v>
          </cell>
          <cell r="R33">
            <v>134</v>
          </cell>
          <cell r="S33">
            <v>-62</v>
          </cell>
          <cell r="T33">
            <v>179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</row>
        <row r="34">
          <cell r="C34" t="str">
            <v>Lendl1</v>
          </cell>
          <cell r="D34">
            <v>-99</v>
          </cell>
          <cell r="E34">
            <v>125</v>
          </cell>
          <cell r="F34">
            <v>23</v>
          </cell>
          <cell r="G34">
            <v>419</v>
          </cell>
          <cell r="H34">
            <v>38</v>
          </cell>
          <cell r="I34">
            <v>138</v>
          </cell>
          <cell r="J34">
            <v>514</v>
          </cell>
          <cell r="K34">
            <v>334</v>
          </cell>
          <cell r="L34">
            <v>398</v>
          </cell>
          <cell r="M34">
            <v>543</v>
          </cell>
          <cell r="N34">
            <v>117</v>
          </cell>
          <cell r="O34">
            <v>166</v>
          </cell>
          <cell r="P34">
            <v>0</v>
          </cell>
          <cell r="Q34">
            <v>0</v>
          </cell>
          <cell r="R34">
            <v>7</v>
          </cell>
          <cell r="S34">
            <v>-99</v>
          </cell>
          <cell r="T34">
            <v>-17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</row>
        <row r="35">
          <cell r="C35" t="str">
            <v>Lendl2</v>
          </cell>
          <cell r="D35">
            <v>0</v>
          </cell>
          <cell r="E35">
            <v>-46</v>
          </cell>
          <cell r="F35">
            <v>44</v>
          </cell>
          <cell r="G35">
            <v>-99</v>
          </cell>
          <cell r="H35">
            <v>0</v>
          </cell>
          <cell r="I35">
            <v>105</v>
          </cell>
          <cell r="J35">
            <v>199</v>
          </cell>
          <cell r="K35">
            <v>69</v>
          </cell>
          <cell r="L35">
            <v>315</v>
          </cell>
          <cell r="M35">
            <v>327</v>
          </cell>
          <cell r="N35">
            <v>261</v>
          </cell>
          <cell r="O35">
            <v>110</v>
          </cell>
          <cell r="P35">
            <v>122</v>
          </cell>
          <cell r="Q35">
            <v>13</v>
          </cell>
          <cell r="R35">
            <v>0</v>
          </cell>
          <cell r="S35">
            <v>-23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</row>
        <row r="36">
          <cell r="C36" t="str">
            <v>Lendl3</v>
          </cell>
          <cell r="D36">
            <v>0</v>
          </cell>
          <cell r="E36">
            <v>52</v>
          </cell>
          <cell r="F36">
            <v>104</v>
          </cell>
          <cell r="G36">
            <v>13</v>
          </cell>
          <cell r="H36">
            <v>384</v>
          </cell>
          <cell r="I36">
            <v>397</v>
          </cell>
          <cell r="J36">
            <v>378</v>
          </cell>
          <cell r="K36">
            <v>401</v>
          </cell>
          <cell r="L36">
            <v>536</v>
          </cell>
          <cell r="M36">
            <v>473</v>
          </cell>
          <cell r="N36">
            <v>389</v>
          </cell>
          <cell r="O36">
            <v>432</v>
          </cell>
          <cell r="P36">
            <v>88</v>
          </cell>
          <cell r="Q36">
            <v>336</v>
          </cell>
          <cell r="R36">
            <v>210</v>
          </cell>
          <cell r="S36">
            <v>-99</v>
          </cell>
          <cell r="T36">
            <v>-40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</row>
        <row r="37">
          <cell r="D37">
            <v>-99</v>
          </cell>
          <cell r="E37">
            <v>131</v>
          </cell>
          <cell r="F37">
            <v>213</v>
          </cell>
          <cell r="G37">
            <v>333</v>
          </cell>
          <cell r="H37">
            <v>422</v>
          </cell>
          <cell r="I37">
            <v>981</v>
          </cell>
          <cell r="J37">
            <v>1217</v>
          </cell>
          <cell r="K37">
            <v>937</v>
          </cell>
          <cell r="L37">
            <v>1249</v>
          </cell>
          <cell r="M37">
            <v>1484</v>
          </cell>
          <cell r="N37">
            <v>918</v>
          </cell>
          <cell r="O37">
            <v>1152</v>
          </cell>
          <cell r="P37">
            <v>575</v>
          </cell>
          <cell r="Q37">
            <v>720</v>
          </cell>
          <cell r="R37">
            <v>351</v>
          </cell>
          <cell r="S37">
            <v>-283</v>
          </cell>
          <cell r="T37">
            <v>122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</row>
        <row r="38">
          <cell r="C38" t="str">
            <v>Agassi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376</v>
          </cell>
          <cell r="N38">
            <v>181</v>
          </cell>
          <cell r="O38">
            <v>0</v>
          </cell>
          <cell r="P38">
            <v>99</v>
          </cell>
          <cell r="Q38">
            <v>24</v>
          </cell>
          <cell r="R38">
            <v>509</v>
          </cell>
          <cell r="S38">
            <v>423</v>
          </cell>
          <cell r="T38">
            <v>0</v>
          </cell>
          <cell r="U38">
            <v>438</v>
          </cell>
          <cell r="V38">
            <v>118</v>
          </cell>
          <cell r="W38">
            <v>232</v>
          </cell>
          <cell r="X38">
            <v>0</v>
          </cell>
          <cell r="Y38">
            <v>0</v>
          </cell>
          <cell r="Z38">
            <v>0</v>
          </cell>
        </row>
        <row r="39">
          <cell r="C39" t="str">
            <v>Agassi1</v>
          </cell>
          <cell r="D39">
            <v>0</v>
          </cell>
          <cell r="E39">
            <v>-91</v>
          </cell>
          <cell r="F39">
            <v>180</v>
          </cell>
          <cell r="G39">
            <v>12</v>
          </cell>
          <cell r="H39">
            <v>281</v>
          </cell>
          <cell r="I39">
            <v>354</v>
          </cell>
          <cell r="J39">
            <v>309</v>
          </cell>
          <cell r="K39">
            <v>0</v>
          </cell>
          <cell r="L39">
            <v>-10</v>
          </cell>
          <cell r="M39">
            <v>129</v>
          </cell>
          <cell r="N39">
            <v>-71</v>
          </cell>
          <cell r="O39">
            <v>0</v>
          </cell>
          <cell r="P39">
            <v>-99</v>
          </cell>
          <cell r="Q39">
            <v>300</v>
          </cell>
          <cell r="R39">
            <v>-39</v>
          </cell>
          <cell r="S39">
            <v>192</v>
          </cell>
          <cell r="T39">
            <v>112</v>
          </cell>
          <cell r="U39">
            <v>152</v>
          </cell>
          <cell r="V39">
            <v>-99</v>
          </cell>
          <cell r="W39">
            <v>-95</v>
          </cell>
          <cell r="X39">
            <v>0</v>
          </cell>
          <cell r="Y39">
            <v>0</v>
          </cell>
          <cell r="Z39">
            <v>0</v>
          </cell>
        </row>
        <row r="40">
          <cell r="C40" t="str">
            <v>Agassi2</v>
          </cell>
          <cell r="D40">
            <v>0</v>
          </cell>
          <cell r="E40">
            <v>-9</v>
          </cell>
          <cell r="F40">
            <v>0</v>
          </cell>
          <cell r="G40">
            <v>0</v>
          </cell>
          <cell r="H40">
            <v>0</v>
          </cell>
          <cell r="I40">
            <v>147</v>
          </cell>
          <cell r="J40">
            <v>458</v>
          </cell>
          <cell r="K40">
            <v>167</v>
          </cell>
          <cell r="L40">
            <v>132</v>
          </cell>
          <cell r="M40">
            <v>205</v>
          </cell>
          <cell r="N40">
            <v>-99</v>
          </cell>
          <cell r="O40">
            <v>0</v>
          </cell>
          <cell r="P40">
            <v>-27</v>
          </cell>
          <cell r="Q40">
            <v>331</v>
          </cell>
          <cell r="R40">
            <v>210</v>
          </cell>
          <cell r="S40">
            <v>193</v>
          </cell>
          <cell r="T40">
            <v>-66</v>
          </cell>
          <cell r="U40">
            <v>38</v>
          </cell>
          <cell r="V40">
            <v>0</v>
          </cell>
          <cell r="W40">
            <v>0</v>
          </cell>
          <cell r="X40">
            <v>59</v>
          </cell>
          <cell r="Y40">
            <v>0</v>
          </cell>
          <cell r="Z40">
            <v>0</v>
          </cell>
        </row>
        <row r="41">
          <cell r="C41" t="str">
            <v>Agassi3</v>
          </cell>
          <cell r="D41">
            <v>-99</v>
          </cell>
          <cell r="E41">
            <v>-11</v>
          </cell>
          <cell r="F41">
            <v>200</v>
          </cell>
          <cell r="G41">
            <v>110</v>
          </cell>
          <cell r="H41">
            <v>379</v>
          </cell>
          <cell r="I41">
            <v>-47</v>
          </cell>
          <cell r="J41">
            <v>186</v>
          </cell>
          <cell r="K41">
            <v>-61</v>
          </cell>
          <cell r="L41">
            <v>508</v>
          </cell>
          <cell r="M41">
            <v>360</v>
          </cell>
          <cell r="N41">
            <v>189</v>
          </cell>
          <cell r="O41">
            <v>46</v>
          </cell>
          <cell r="P41">
            <v>121</v>
          </cell>
          <cell r="Q41">
            <v>304</v>
          </cell>
          <cell r="R41">
            <v>-36</v>
          </cell>
          <cell r="S41">
            <v>103</v>
          </cell>
          <cell r="T41">
            <v>226</v>
          </cell>
          <cell r="U41">
            <v>221</v>
          </cell>
          <cell r="V41">
            <v>246</v>
          </cell>
          <cell r="W41">
            <v>272</v>
          </cell>
          <cell r="X41">
            <v>18</v>
          </cell>
          <cell r="Y41">
            <v>0</v>
          </cell>
          <cell r="Z41">
            <v>0</v>
          </cell>
        </row>
        <row r="42">
          <cell r="D42">
            <v>-99</v>
          </cell>
          <cell r="E42">
            <v>-111</v>
          </cell>
          <cell r="F42">
            <v>380</v>
          </cell>
          <cell r="G42">
            <v>122</v>
          </cell>
          <cell r="H42">
            <v>660</v>
          </cell>
          <cell r="I42">
            <v>454</v>
          </cell>
          <cell r="J42">
            <v>953</v>
          </cell>
          <cell r="K42">
            <v>106</v>
          </cell>
          <cell r="L42">
            <v>630</v>
          </cell>
          <cell r="M42">
            <v>1070</v>
          </cell>
          <cell r="N42">
            <v>200</v>
          </cell>
          <cell r="O42">
            <v>46</v>
          </cell>
          <cell r="P42">
            <v>94</v>
          </cell>
          <cell r="Q42">
            <v>959</v>
          </cell>
          <cell r="R42">
            <v>644</v>
          </cell>
          <cell r="S42">
            <v>911</v>
          </cell>
          <cell r="T42">
            <v>272</v>
          </cell>
          <cell r="U42">
            <v>849</v>
          </cell>
          <cell r="V42">
            <v>265</v>
          </cell>
          <cell r="W42">
            <v>409</v>
          </cell>
          <cell r="X42">
            <v>77</v>
          </cell>
          <cell r="Y42">
            <v>0</v>
          </cell>
          <cell r="Z42">
            <v>0</v>
          </cell>
        </row>
        <row r="43">
          <cell r="C43" t="str">
            <v>McEnroe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131</v>
          </cell>
          <cell r="K43">
            <v>0</v>
          </cell>
          <cell r="L43">
            <v>65</v>
          </cell>
          <cell r="M43">
            <v>0</v>
          </cell>
          <cell r="N43">
            <v>0</v>
          </cell>
          <cell r="O43">
            <v>0</v>
          </cell>
          <cell r="P43">
            <v>138</v>
          </cell>
          <cell r="Q43">
            <v>6</v>
          </cell>
          <cell r="R43">
            <v>0</v>
          </cell>
          <cell r="S43">
            <v>228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</row>
        <row r="44">
          <cell r="C44" t="str">
            <v>McEnroe1</v>
          </cell>
          <cell r="D44">
            <v>-22</v>
          </cell>
          <cell r="E44">
            <v>0</v>
          </cell>
          <cell r="F44">
            <v>0</v>
          </cell>
          <cell r="G44">
            <v>0</v>
          </cell>
          <cell r="H44">
            <v>148</v>
          </cell>
          <cell r="I44">
            <v>0</v>
          </cell>
          <cell r="J44">
            <v>118</v>
          </cell>
          <cell r="K44">
            <v>425</v>
          </cell>
          <cell r="L44">
            <v>200</v>
          </cell>
          <cell r="M44">
            <v>0</v>
          </cell>
          <cell r="N44">
            <v>-49</v>
          </cell>
          <cell r="O44">
            <v>37</v>
          </cell>
          <cell r="P44">
            <v>0</v>
          </cell>
          <cell r="Q44">
            <v>0</v>
          </cell>
          <cell r="R44">
            <v>-17</v>
          </cell>
          <cell r="S44">
            <v>-94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</row>
        <row r="45">
          <cell r="C45" t="str">
            <v>McEnroe2</v>
          </cell>
          <cell r="D45">
            <v>252</v>
          </cell>
          <cell r="E45">
            <v>-99</v>
          </cell>
          <cell r="F45">
            <v>131</v>
          </cell>
          <cell r="G45">
            <v>276</v>
          </cell>
          <cell r="H45">
            <v>540</v>
          </cell>
          <cell r="I45">
            <v>350</v>
          </cell>
          <cell r="J45">
            <v>359</v>
          </cell>
          <cell r="K45">
            <v>454</v>
          </cell>
          <cell r="L45">
            <v>6</v>
          </cell>
          <cell r="M45">
            <v>0</v>
          </cell>
          <cell r="N45">
            <v>0</v>
          </cell>
          <cell r="O45">
            <v>-37</v>
          </cell>
          <cell r="P45">
            <v>271</v>
          </cell>
          <cell r="Q45">
            <v>-99</v>
          </cell>
          <cell r="R45">
            <v>37</v>
          </cell>
          <cell r="S45">
            <v>209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</row>
        <row r="46">
          <cell r="C46" t="str">
            <v>McEnroe3</v>
          </cell>
          <cell r="D46">
            <v>139</v>
          </cell>
          <cell r="E46">
            <v>258</v>
          </cell>
          <cell r="F46">
            <v>480</v>
          </cell>
          <cell r="G46">
            <v>439</v>
          </cell>
          <cell r="H46">
            <v>434</v>
          </cell>
          <cell r="I46">
            <v>228</v>
          </cell>
          <cell r="J46">
            <v>16</v>
          </cell>
          <cell r="K46">
            <v>424</v>
          </cell>
          <cell r="L46">
            <v>337</v>
          </cell>
          <cell r="M46">
            <v>-20</v>
          </cell>
          <cell r="N46">
            <v>207</v>
          </cell>
          <cell r="O46">
            <v>-35</v>
          </cell>
          <cell r="P46">
            <v>-98</v>
          </cell>
          <cell r="Q46">
            <v>295</v>
          </cell>
          <cell r="R46">
            <v>-20</v>
          </cell>
          <cell r="S46">
            <v>29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</row>
        <row r="47">
          <cell r="C47">
            <v>0</v>
          </cell>
          <cell r="D47">
            <v>369</v>
          </cell>
          <cell r="E47">
            <v>159</v>
          </cell>
          <cell r="F47">
            <v>611</v>
          </cell>
          <cell r="G47">
            <v>715</v>
          </cell>
          <cell r="H47">
            <v>1122</v>
          </cell>
          <cell r="I47">
            <v>578</v>
          </cell>
          <cell r="J47">
            <v>624</v>
          </cell>
          <cell r="K47">
            <v>1303</v>
          </cell>
          <cell r="L47">
            <v>608</v>
          </cell>
          <cell r="M47">
            <v>-20</v>
          </cell>
          <cell r="N47">
            <v>158</v>
          </cell>
          <cell r="O47">
            <v>-35</v>
          </cell>
          <cell r="P47">
            <v>311</v>
          </cell>
          <cell r="Q47">
            <v>202</v>
          </cell>
          <cell r="R47">
            <v>0</v>
          </cell>
          <cell r="S47">
            <v>372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</row>
        <row r="48">
          <cell r="C48" t="str">
            <v>Wilander</v>
          </cell>
          <cell r="D48">
            <v>-99</v>
          </cell>
          <cell r="E48">
            <v>0</v>
          </cell>
          <cell r="F48">
            <v>504</v>
          </cell>
          <cell r="G48">
            <v>336</v>
          </cell>
          <cell r="H48">
            <v>243</v>
          </cell>
          <cell r="I48">
            <v>0</v>
          </cell>
          <cell r="J48">
            <v>0</v>
          </cell>
          <cell r="K48">
            <v>420</v>
          </cell>
          <cell r="L48">
            <v>-50</v>
          </cell>
          <cell r="M48">
            <v>193</v>
          </cell>
          <cell r="N48">
            <v>9</v>
          </cell>
          <cell r="O48">
            <v>0</v>
          </cell>
          <cell r="P48">
            <v>0</v>
          </cell>
          <cell r="Q48">
            <v>-23</v>
          </cell>
          <cell r="R48">
            <v>-24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</row>
        <row r="49">
          <cell r="C49" t="str">
            <v>Wilander1</v>
          </cell>
          <cell r="D49">
            <v>0</v>
          </cell>
          <cell r="E49">
            <v>508</v>
          </cell>
          <cell r="F49">
            <v>355</v>
          </cell>
          <cell r="G49">
            <v>269</v>
          </cell>
          <cell r="H49">
            <v>496</v>
          </cell>
          <cell r="I49">
            <v>20</v>
          </cell>
          <cell r="J49">
            <v>404</v>
          </cell>
          <cell r="K49">
            <v>465</v>
          </cell>
          <cell r="L49">
            <v>53</v>
          </cell>
          <cell r="M49">
            <v>0</v>
          </cell>
          <cell r="N49">
            <v>-49</v>
          </cell>
          <cell r="O49">
            <v>0</v>
          </cell>
          <cell r="P49">
            <v>0</v>
          </cell>
          <cell r="Q49">
            <v>-19</v>
          </cell>
          <cell r="R49">
            <v>-5</v>
          </cell>
          <cell r="S49">
            <v>-15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</row>
        <row r="50">
          <cell r="C50" t="str">
            <v>Wilander2</v>
          </cell>
          <cell r="D50">
            <v>1</v>
          </cell>
          <cell r="E50">
            <v>111</v>
          </cell>
          <cell r="F50">
            <v>6</v>
          </cell>
          <cell r="G50">
            <v>-32</v>
          </cell>
          <cell r="H50">
            <v>-77</v>
          </cell>
          <cell r="I50">
            <v>-46</v>
          </cell>
          <cell r="J50">
            <v>220</v>
          </cell>
          <cell r="K50">
            <v>121</v>
          </cell>
          <cell r="L50">
            <v>127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</row>
        <row r="51">
          <cell r="C51" t="str">
            <v>Wilander3</v>
          </cell>
          <cell r="D51">
            <v>0</v>
          </cell>
          <cell r="E51">
            <v>115</v>
          </cell>
          <cell r="F51">
            <v>179</v>
          </cell>
          <cell r="G51">
            <v>154</v>
          </cell>
          <cell r="H51">
            <v>304</v>
          </cell>
          <cell r="I51">
            <v>73</v>
          </cell>
          <cell r="J51">
            <v>226</v>
          </cell>
          <cell r="K51">
            <v>504</v>
          </cell>
          <cell r="L51">
            <v>-20</v>
          </cell>
          <cell r="M51">
            <v>-8</v>
          </cell>
          <cell r="N51">
            <v>0</v>
          </cell>
          <cell r="O51">
            <v>0</v>
          </cell>
          <cell r="P51">
            <v>78</v>
          </cell>
          <cell r="Q51">
            <v>-99</v>
          </cell>
          <cell r="R51">
            <v>-14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</row>
        <row r="52">
          <cell r="C52">
            <v>0</v>
          </cell>
          <cell r="D52">
            <v>-98</v>
          </cell>
          <cell r="E52">
            <v>734</v>
          </cell>
          <cell r="F52">
            <v>1044</v>
          </cell>
          <cell r="G52">
            <v>727</v>
          </cell>
          <cell r="H52">
            <v>966</v>
          </cell>
          <cell r="I52">
            <v>47</v>
          </cell>
          <cell r="J52">
            <v>850</v>
          </cell>
          <cell r="K52">
            <v>1510</v>
          </cell>
          <cell r="L52">
            <v>110</v>
          </cell>
          <cell r="M52">
            <v>185</v>
          </cell>
          <cell r="N52">
            <v>-40</v>
          </cell>
          <cell r="O52">
            <v>0</v>
          </cell>
          <cell r="P52">
            <v>78</v>
          </cell>
          <cell r="Q52">
            <v>-141</v>
          </cell>
          <cell r="R52">
            <v>-38</v>
          </cell>
          <cell r="S52">
            <v>-15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</row>
        <row r="53">
          <cell r="C53" t="str">
            <v>Edberg</v>
          </cell>
          <cell r="D53">
            <v>-97</v>
          </cell>
          <cell r="E53">
            <v>47</v>
          </cell>
          <cell r="F53">
            <v>376</v>
          </cell>
          <cell r="G53">
            <v>0</v>
          </cell>
          <cell r="H53">
            <v>352</v>
          </cell>
          <cell r="I53">
            <v>135</v>
          </cell>
          <cell r="J53">
            <v>148</v>
          </cell>
          <cell r="K53">
            <v>286</v>
          </cell>
          <cell r="L53">
            <v>142</v>
          </cell>
          <cell r="M53">
            <v>247</v>
          </cell>
          <cell r="N53">
            <v>322</v>
          </cell>
          <cell r="O53">
            <v>248</v>
          </cell>
          <cell r="P53">
            <v>-4</v>
          </cell>
          <cell r="Q53">
            <v>-35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</row>
        <row r="54">
          <cell r="C54" t="str">
            <v>Edberg1</v>
          </cell>
          <cell r="D54">
            <v>0</v>
          </cell>
          <cell r="E54">
            <v>47</v>
          </cell>
          <cell r="F54">
            <v>165</v>
          </cell>
          <cell r="G54">
            <v>-26</v>
          </cell>
          <cell r="H54">
            <v>-98</v>
          </cell>
          <cell r="I54">
            <v>48</v>
          </cell>
          <cell r="J54">
            <v>259</v>
          </cell>
          <cell r="K54">
            <v>-46</v>
          </cell>
          <cell r="L54">
            <v>230</v>
          </cell>
          <cell r="M54">
            <v>19</v>
          </cell>
          <cell r="N54">
            <v>127</v>
          </cell>
          <cell r="O54">
            <v>-37</v>
          </cell>
          <cell r="P54">
            <v>54</v>
          </cell>
          <cell r="Q54">
            <v>209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</row>
        <row r="55">
          <cell r="C55" t="str">
            <v>Edberg2</v>
          </cell>
          <cell r="D55">
            <v>51</v>
          </cell>
          <cell r="E55">
            <v>32</v>
          </cell>
          <cell r="F55">
            <v>62</v>
          </cell>
          <cell r="G55">
            <v>51</v>
          </cell>
          <cell r="H55">
            <v>230</v>
          </cell>
          <cell r="I55">
            <v>349</v>
          </cell>
          <cell r="J55">
            <v>315</v>
          </cell>
          <cell r="K55">
            <v>435</v>
          </cell>
          <cell r="L55">
            <v>176</v>
          </cell>
          <cell r="M55">
            <v>6</v>
          </cell>
          <cell r="N55">
            <v>169</v>
          </cell>
          <cell r="O55">
            <v>-98</v>
          </cell>
          <cell r="P55">
            <v>-86</v>
          </cell>
          <cell r="Q55">
            <v>-9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</row>
        <row r="56">
          <cell r="C56" t="str">
            <v>Edberg3</v>
          </cell>
          <cell r="D56">
            <v>-97</v>
          </cell>
          <cell r="E56">
            <v>0</v>
          </cell>
          <cell r="F56">
            <v>189</v>
          </cell>
          <cell r="G56">
            <v>226</v>
          </cell>
          <cell r="H56">
            <v>280</v>
          </cell>
          <cell r="I56">
            <v>36</v>
          </cell>
          <cell r="J56">
            <v>42</v>
          </cell>
          <cell r="K56">
            <v>-52</v>
          </cell>
          <cell r="L56">
            <v>373</v>
          </cell>
          <cell r="M56">
            <v>546</v>
          </cell>
          <cell r="N56">
            <v>-17</v>
          </cell>
          <cell r="O56">
            <v>-53</v>
          </cell>
          <cell r="P56">
            <v>38</v>
          </cell>
          <cell r="Q56">
            <v>256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</row>
        <row r="57">
          <cell r="C57">
            <v>0</v>
          </cell>
          <cell r="D57">
            <v>-143</v>
          </cell>
          <cell r="E57">
            <v>126</v>
          </cell>
          <cell r="F57">
            <v>792</v>
          </cell>
          <cell r="G57">
            <v>251</v>
          </cell>
          <cell r="H57">
            <v>764</v>
          </cell>
          <cell r="I57">
            <v>568</v>
          </cell>
          <cell r="J57">
            <v>764</v>
          </cell>
          <cell r="K57">
            <v>623</v>
          </cell>
          <cell r="L57">
            <v>921</v>
          </cell>
          <cell r="M57">
            <v>818</v>
          </cell>
          <cell r="N57">
            <v>601</v>
          </cell>
          <cell r="O57">
            <v>60</v>
          </cell>
          <cell r="P57">
            <v>2</v>
          </cell>
          <cell r="Q57">
            <v>421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</row>
        <row r="58">
          <cell r="C58" t="str">
            <v>Becker</v>
          </cell>
          <cell r="D58">
            <v>168</v>
          </cell>
          <cell r="E58">
            <v>-98</v>
          </cell>
          <cell r="F58">
            <v>0</v>
          </cell>
          <cell r="G58">
            <v>28</v>
          </cell>
          <cell r="H58">
            <v>0</v>
          </cell>
          <cell r="I58">
            <v>-4</v>
          </cell>
          <cell r="J58">
            <v>174</v>
          </cell>
          <cell r="K58">
            <v>317</v>
          </cell>
          <cell r="L58">
            <v>4</v>
          </cell>
          <cell r="M58">
            <v>-99</v>
          </cell>
          <cell r="N58">
            <v>0</v>
          </cell>
          <cell r="O58">
            <v>-65</v>
          </cell>
          <cell r="P58">
            <v>484</v>
          </cell>
          <cell r="Q58">
            <v>-25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</row>
        <row r="59">
          <cell r="C59" t="str">
            <v>Becker1</v>
          </cell>
          <cell r="D59">
            <v>0</v>
          </cell>
          <cell r="E59">
            <v>73</v>
          </cell>
          <cell r="F59">
            <v>153</v>
          </cell>
          <cell r="G59">
            <v>227</v>
          </cell>
          <cell r="H59">
            <v>136</v>
          </cell>
          <cell r="I59">
            <v>200</v>
          </cell>
          <cell r="J59">
            <v>-51</v>
          </cell>
          <cell r="K59">
            <v>315</v>
          </cell>
          <cell r="L59">
            <v>0</v>
          </cell>
          <cell r="M59">
            <v>-95</v>
          </cell>
          <cell r="N59">
            <v>0</v>
          </cell>
          <cell r="O59">
            <v>-16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</row>
        <row r="60">
          <cell r="C60" t="str">
            <v>Becker2</v>
          </cell>
          <cell r="D60">
            <v>35</v>
          </cell>
          <cell r="E60">
            <v>527</v>
          </cell>
          <cell r="F60">
            <v>516</v>
          </cell>
          <cell r="G60">
            <v>0</v>
          </cell>
          <cell r="H60">
            <v>347</v>
          </cell>
          <cell r="I60">
            <v>429</v>
          </cell>
          <cell r="J60">
            <v>295</v>
          </cell>
          <cell r="K60">
            <v>329</v>
          </cell>
          <cell r="L60">
            <v>179</v>
          </cell>
          <cell r="M60">
            <v>335</v>
          </cell>
          <cell r="N60">
            <v>129</v>
          </cell>
          <cell r="O60">
            <v>222</v>
          </cell>
          <cell r="P60">
            <v>-47</v>
          </cell>
          <cell r="Q60">
            <v>170</v>
          </cell>
          <cell r="R60">
            <v>0</v>
          </cell>
          <cell r="S60">
            <v>149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</row>
        <row r="61">
          <cell r="C61" t="str">
            <v>Becker3</v>
          </cell>
          <cell r="D61">
            <v>0</v>
          </cell>
          <cell r="E61">
            <v>-5</v>
          </cell>
          <cell r="F61">
            <v>116</v>
          </cell>
          <cell r="G61">
            <v>38</v>
          </cell>
          <cell r="H61">
            <v>-18</v>
          </cell>
          <cell r="I61">
            <v>501</v>
          </cell>
          <cell r="J61">
            <v>321</v>
          </cell>
          <cell r="K61">
            <v>95</v>
          </cell>
          <cell r="L61">
            <v>84</v>
          </cell>
          <cell r="M61">
            <v>48</v>
          </cell>
          <cell r="N61">
            <v>-48</v>
          </cell>
          <cell r="O61">
            <v>167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</row>
        <row r="62">
          <cell r="C62">
            <v>0</v>
          </cell>
          <cell r="D62">
            <v>203</v>
          </cell>
          <cell r="E62">
            <v>497</v>
          </cell>
          <cell r="F62">
            <v>785</v>
          </cell>
          <cell r="G62">
            <v>293</v>
          </cell>
          <cell r="H62">
            <v>465</v>
          </cell>
          <cell r="I62">
            <v>1126</v>
          </cell>
          <cell r="J62">
            <v>739</v>
          </cell>
          <cell r="K62">
            <v>1056</v>
          </cell>
          <cell r="L62">
            <v>267</v>
          </cell>
          <cell r="M62">
            <v>189</v>
          </cell>
          <cell r="N62">
            <v>81</v>
          </cell>
          <cell r="O62">
            <v>308</v>
          </cell>
          <cell r="P62">
            <v>437</v>
          </cell>
          <cell r="Q62">
            <v>145</v>
          </cell>
          <cell r="R62">
            <v>0</v>
          </cell>
          <cell r="S62">
            <v>149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</row>
        <row r="63">
          <cell r="C63" t="str">
            <v>Vilas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183</v>
          </cell>
          <cell r="L63">
            <v>354</v>
          </cell>
          <cell r="M63">
            <v>490</v>
          </cell>
          <cell r="N63">
            <v>133</v>
          </cell>
          <cell r="O63">
            <v>22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</row>
        <row r="64">
          <cell r="C64" t="str">
            <v>Vilas1</v>
          </cell>
          <cell r="D64">
            <v>0</v>
          </cell>
          <cell r="E64">
            <v>0</v>
          </cell>
          <cell r="F64">
            <v>35</v>
          </cell>
          <cell r="G64">
            <v>71</v>
          </cell>
          <cell r="H64">
            <v>52</v>
          </cell>
          <cell r="I64">
            <v>319</v>
          </cell>
          <cell r="J64">
            <v>138</v>
          </cell>
          <cell r="K64">
            <v>545</v>
          </cell>
          <cell r="L64">
            <v>299</v>
          </cell>
          <cell r="M64">
            <v>152</v>
          </cell>
          <cell r="N64">
            <v>195</v>
          </cell>
          <cell r="O64">
            <v>105</v>
          </cell>
          <cell r="P64">
            <v>283</v>
          </cell>
          <cell r="Q64">
            <v>112</v>
          </cell>
          <cell r="R64">
            <v>-31</v>
          </cell>
          <cell r="S64">
            <v>-9</v>
          </cell>
          <cell r="T64">
            <v>101</v>
          </cell>
          <cell r="U64">
            <v>-53</v>
          </cell>
          <cell r="V64">
            <v>-45</v>
          </cell>
          <cell r="W64">
            <v>-99</v>
          </cell>
          <cell r="X64">
            <v>0</v>
          </cell>
          <cell r="Y64">
            <v>0</v>
          </cell>
          <cell r="Z64">
            <v>0</v>
          </cell>
        </row>
        <row r="65">
          <cell r="C65" t="str">
            <v>Vilas2</v>
          </cell>
          <cell r="D65">
            <v>-99</v>
          </cell>
          <cell r="E65">
            <v>0</v>
          </cell>
          <cell r="F65">
            <v>-26</v>
          </cell>
          <cell r="G65">
            <v>0</v>
          </cell>
          <cell r="H65">
            <v>80</v>
          </cell>
          <cell r="I65">
            <v>122</v>
          </cell>
          <cell r="J65">
            <v>185</v>
          </cell>
          <cell r="K65">
            <v>31</v>
          </cell>
          <cell r="L65">
            <v>19</v>
          </cell>
          <cell r="M65">
            <v>-45</v>
          </cell>
          <cell r="N65">
            <v>0</v>
          </cell>
          <cell r="O65">
            <v>-58</v>
          </cell>
          <cell r="P65">
            <v>0</v>
          </cell>
          <cell r="Q65">
            <v>-82</v>
          </cell>
          <cell r="R65">
            <v>0</v>
          </cell>
          <cell r="S65">
            <v>0</v>
          </cell>
          <cell r="T65">
            <v>-99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</row>
        <row r="66">
          <cell r="C66" t="str">
            <v>Vilas3</v>
          </cell>
          <cell r="D66">
            <v>0</v>
          </cell>
          <cell r="E66">
            <v>0</v>
          </cell>
          <cell r="F66">
            <v>-12</v>
          </cell>
          <cell r="G66">
            <v>-87</v>
          </cell>
          <cell r="H66">
            <v>28</v>
          </cell>
          <cell r="I66">
            <v>264</v>
          </cell>
          <cell r="J66">
            <v>217</v>
          </cell>
          <cell r="K66">
            <v>391</v>
          </cell>
          <cell r="L66">
            <v>83</v>
          </cell>
          <cell r="M66">
            <v>23</v>
          </cell>
          <cell r="N66">
            <v>21</v>
          </cell>
          <cell r="O66">
            <v>113</v>
          </cell>
          <cell r="P66">
            <v>169</v>
          </cell>
          <cell r="Q66">
            <v>-93</v>
          </cell>
          <cell r="R66">
            <v>-18</v>
          </cell>
          <cell r="S66">
            <v>-15</v>
          </cell>
          <cell r="T66">
            <v>-43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</row>
        <row r="67">
          <cell r="C67">
            <v>0</v>
          </cell>
          <cell r="D67">
            <v>-99</v>
          </cell>
          <cell r="E67">
            <v>0</v>
          </cell>
          <cell r="F67">
            <v>-3</v>
          </cell>
          <cell r="G67">
            <v>-16</v>
          </cell>
          <cell r="H67">
            <v>160</v>
          </cell>
          <cell r="I67">
            <v>705</v>
          </cell>
          <cell r="J67">
            <v>540</v>
          </cell>
          <cell r="K67">
            <v>1150</v>
          </cell>
          <cell r="L67">
            <v>755</v>
          </cell>
          <cell r="M67">
            <v>620</v>
          </cell>
          <cell r="N67">
            <v>349</v>
          </cell>
          <cell r="O67">
            <v>182</v>
          </cell>
          <cell r="P67">
            <v>452</v>
          </cell>
          <cell r="Q67">
            <v>-63</v>
          </cell>
          <cell r="R67">
            <v>-49</v>
          </cell>
          <cell r="S67">
            <v>-24</v>
          </cell>
          <cell r="T67">
            <v>-41</v>
          </cell>
          <cell r="U67">
            <v>-53</v>
          </cell>
          <cell r="V67">
            <v>-45</v>
          </cell>
          <cell r="W67">
            <v>-99</v>
          </cell>
          <cell r="X67">
            <v>0</v>
          </cell>
          <cell r="Y67">
            <v>0</v>
          </cell>
          <cell r="Z67">
            <v>0</v>
          </cell>
        </row>
        <row r="68">
          <cell r="C68" t="str">
            <v>Courier</v>
          </cell>
          <cell r="D68">
            <v>0</v>
          </cell>
          <cell r="E68">
            <v>0</v>
          </cell>
          <cell r="F68">
            <v>6</v>
          </cell>
          <cell r="G68">
            <v>29</v>
          </cell>
          <cell r="H68">
            <v>365</v>
          </cell>
          <cell r="I68">
            <v>427</v>
          </cell>
          <cell r="J68">
            <v>304</v>
          </cell>
          <cell r="K68">
            <v>160</v>
          </cell>
          <cell r="L68">
            <v>108</v>
          </cell>
          <cell r="M68">
            <v>50</v>
          </cell>
          <cell r="N68">
            <v>0</v>
          </cell>
          <cell r="O68">
            <v>52</v>
          </cell>
          <cell r="P68">
            <v>-34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</row>
        <row r="69">
          <cell r="C69" t="str">
            <v>Courier1</v>
          </cell>
          <cell r="D69">
            <v>0</v>
          </cell>
          <cell r="E69">
            <v>70</v>
          </cell>
          <cell r="F69">
            <v>32</v>
          </cell>
          <cell r="G69">
            <v>485</v>
          </cell>
          <cell r="H69">
            <v>486</v>
          </cell>
          <cell r="I69">
            <v>341</v>
          </cell>
          <cell r="J69">
            <v>221</v>
          </cell>
          <cell r="K69">
            <v>55</v>
          </cell>
          <cell r="L69">
            <v>118</v>
          </cell>
          <cell r="M69">
            <v>-39</v>
          </cell>
          <cell r="N69">
            <v>-42</v>
          </cell>
          <cell r="O69">
            <v>-35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</row>
        <row r="70">
          <cell r="C70" t="str">
            <v>Courier2</v>
          </cell>
          <cell r="D70">
            <v>0</v>
          </cell>
          <cell r="E70">
            <v>-52</v>
          </cell>
          <cell r="F70">
            <v>-97</v>
          </cell>
          <cell r="G70">
            <v>113</v>
          </cell>
          <cell r="H70">
            <v>-57</v>
          </cell>
          <cell r="I70">
            <v>343</v>
          </cell>
          <cell r="J70">
            <v>-78</v>
          </cell>
          <cell r="K70">
            <v>-57</v>
          </cell>
          <cell r="L70">
            <v>-99</v>
          </cell>
          <cell r="M70">
            <v>-88</v>
          </cell>
          <cell r="N70">
            <v>-41</v>
          </cell>
          <cell r="O70">
            <v>133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</row>
        <row r="71">
          <cell r="C71" t="str">
            <v>Courier3</v>
          </cell>
          <cell r="D71">
            <v>3</v>
          </cell>
          <cell r="E71">
            <v>69</v>
          </cell>
          <cell r="F71">
            <v>5</v>
          </cell>
          <cell r="G71">
            <v>352</v>
          </cell>
          <cell r="H71">
            <v>294</v>
          </cell>
          <cell r="I71">
            <v>58</v>
          </cell>
          <cell r="J71">
            <v>33</v>
          </cell>
          <cell r="K71">
            <v>313</v>
          </cell>
          <cell r="L71">
            <v>0</v>
          </cell>
          <cell r="M71">
            <v>-62</v>
          </cell>
          <cell r="N71">
            <v>0</v>
          </cell>
          <cell r="O71">
            <v>-95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</row>
        <row r="72">
          <cell r="C72">
            <v>0</v>
          </cell>
          <cell r="D72">
            <v>3</v>
          </cell>
          <cell r="E72">
            <v>87</v>
          </cell>
          <cell r="F72">
            <v>-54</v>
          </cell>
          <cell r="G72">
            <v>979</v>
          </cell>
          <cell r="H72">
            <v>1088</v>
          </cell>
          <cell r="I72">
            <v>1169</v>
          </cell>
          <cell r="J72">
            <v>480</v>
          </cell>
          <cell r="K72">
            <v>471</v>
          </cell>
          <cell r="L72">
            <v>127</v>
          </cell>
          <cell r="M72">
            <v>-139</v>
          </cell>
          <cell r="N72">
            <v>-83</v>
          </cell>
          <cell r="O72">
            <v>55</v>
          </cell>
          <cell r="P72">
            <v>-34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</row>
        <row r="73">
          <cell r="C73" t="str">
            <v>Murray</v>
          </cell>
          <cell r="D73">
            <v>0</v>
          </cell>
          <cell r="E73">
            <v>-51</v>
          </cell>
          <cell r="F73">
            <v>170</v>
          </cell>
          <cell r="G73">
            <v>-38</v>
          </cell>
          <cell r="H73">
            <v>105</v>
          </cell>
          <cell r="I73">
            <v>360</v>
          </cell>
          <cell r="J73">
            <v>353</v>
          </cell>
          <cell r="K73">
            <v>181</v>
          </cell>
          <cell r="L73">
            <v>326</v>
          </cell>
          <cell r="M73">
            <v>81</v>
          </cell>
          <cell r="N73">
            <v>324</v>
          </cell>
          <cell r="O73">
            <v>410</v>
          </cell>
          <cell r="P73">
            <v>25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</row>
        <row r="74">
          <cell r="C74" t="str">
            <v>Murray1</v>
          </cell>
          <cell r="D74">
            <v>0</v>
          </cell>
          <cell r="E74">
            <v>-25</v>
          </cell>
          <cell r="F74">
            <v>0</v>
          </cell>
          <cell r="G74">
            <v>33</v>
          </cell>
          <cell r="H74">
            <v>122</v>
          </cell>
          <cell r="I74">
            <v>161</v>
          </cell>
          <cell r="J74">
            <v>177</v>
          </cell>
          <cell r="K74">
            <v>221</v>
          </cell>
          <cell r="L74">
            <v>0</v>
          </cell>
          <cell r="M74">
            <v>225</v>
          </cell>
          <cell r="N74">
            <v>295</v>
          </cell>
          <cell r="O74">
            <v>367</v>
          </cell>
          <cell r="P74">
            <v>304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</row>
        <row r="75">
          <cell r="C75" t="str">
            <v>Murray2</v>
          </cell>
          <cell r="D75">
            <v>69</v>
          </cell>
          <cell r="E75">
            <v>151</v>
          </cell>
          <cell r="F75">
            <v>0</v>
          </cell>
          <cell r="G75">
            <v>209</v>
          </cell>
          <cell r="H75">
            <v>216</v>
          </cell>
          <cell r="I75">
            <v>307</v>
          </cell>
          <cell r="J75">
            <v>283</v>
          </cell>
          <cell r="K75">
            <v>451</v>
          </cell>
          <cell r="L75">
            <v>452</v>
          </cell>
          <cell r="M75">
            <v>161</v>
          </cell>
          <cell r="N75">
            <v>377</v>
          </cell>
          <cell r="O75">
            <v>442</v>
          </cell>
          <cell r="P75">
            <v>122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</row>
        <row r="76">
          <cell r="C76" t="str">
            <v>Murray3</v>
          </cell>
          <cell r="D76">
            <v>-38</v>
          </cell>
          <cell r="E76">
            <v>90</v>
          </cell>
          <cell r="F76">
            <v>3</v>
          </cell>
          <cell r="G76">
            <v>415</v>
          </cell>
          <cell r="H76">
            <v>3</v>
          </cell>
          <cell r="I76">
            <v>5</v>
          </cell>
          <cell r="J76">
            <v>261</v>
          </cell>
          <cell r="K76">
            <v>513</v>
          </cell>
          <cell r="L76">
            <v>159</v>
          </cell>
          <cell r="M76">
            <v>135</v>
          </cell>
          <cell r="N76">
            <v>183</v>
          </cell>
          <cell r="O76">
            <v>216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</row>
        <row r="77">
          <cell r="C77">
            <v>0</v>
          </cell>
          <cell r="D77">
            <v>31</v>
          </cell>
          <cell r="E77">
            <v>165</v>
          </cell>
          <cell r="F77">
            <v>173</v>
          </cell>
          <cell r="G77">
            <v>619</v>
          </cell>
          <cell r="H77">
            <v>446</v>
          </cell>
          <cell r="I77">
            <v>833</v>
          </cell>
          <cell r="J77">
            <v>1074</v>
          </cell>
          <cell r="K77">
            <v>1366</v>
          </cell>
          <cell r="L77">
            <v>937</v>
          </cell>
          <cell r="M77">
            <v>602</v>
          </cell>
          <cell r="N77">
            <v>1179</v>
          </cell>
          <cell r="O77">
            <v>1435</v>
          </cell>
          <cell r="P77">
            <v>451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</row>
        <row r="78">
          <cell r="C78" t="str">
            <v>Kuerten</v>
          </cell>
          <cell r="D78">
            <v>0</v>
          </cell>
          <cell r="E78">
            <v>-40</v>
          </cell>
          <cell r="F78">
            <v>-78</v>
          </cell>
          <cell r="G78">
            <v>-46</v>
          </cell>
          <cell r="H78">
            <v>-91</v>
          </cell>
          <cell r="I78">
            <v>-3</v>
          </cell>
          <cell r="J78">
            <v>-49</v>
          </cell>
          <cell r="K78">
            <v>-68</v>
          </cell>
          <cell r="L78">
            <v>57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</row>
        <row r="79">
          <cell r="C79" t="str">
            <v>Kuerten1</v>
          </cell>
          <cell r="D79">
            <v>-10</v>
          </cell>
          <cell r="E79">
            <v>511</v>
          </cell>
          <cell r="F79">
            <v>-98</v>
          </cell>
          <cell r="G79">
            <v>26</v>
          </cell>
          <cell r="H79">
            <v>531</v>
          </cell>
          <cell r="I79">
            <v>429</v>
          </cell>
          <cell r="J79">
            <v>90</v>
          </cell>
          <cell r="K79">
            <v>61</v>
          </cell>
          <cell r="L79">
            <v>180</v>
          </cell>
          <cell r="M79">
            <v>-99</v>
          </cell>
          <cell r="N79">
            <v>0</v>
          </cell>
          <cell r="O79">
            <v>0</v>
          </cell>
          <cell r="P79">
            <v>-18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</row>
        <row r="80">
          <cell r="C80" t="str">
            <v>Kuerten2</v>
          </cell>
          <cell r="D80">
            <v>0</v>
          </cell>
          <cell r="E80">
            <v>-99</v>
          </cell>
          <cell r="F80">
            <v>-43</v>
          </cell>
          <cell r="G80">
            <v>52</v>
          </cell>
          <cell r="H80">
            <v>-44</v>
          </cell>
          <cell r="I80">
            <v>0</v>
          </cell>
          <cell r="J80">
            <v>0</v>
          </cell>
          <cell r="K80">
            <v>-88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</row>
        <row r="81">
          <cell r="C81" t="str">
            <v>Kuerten3</v>
          </cell>
          <cell r="D81">
            <v>0</v>
          </cell>
          <cell r="E81">
            <v>37</v>
          </cell>
          <cell r="F81">
            <v>-98</v>
          </cell>
          <cell r="G81">
            <v>152</v>
          </cell>
          <cell r="H81">
            <v>-99</v>
          </cell>
          <cell r="I81">
            <v>129</v>
          </cell>
          <cell r="J81">
            <v>155</v>
          </cell>
          <cell r="K81">
            <v>-99</v>
          </cell>
          <cell r="L81">
            <v>-99</v>
          </cell>
          <cell r="M81">
            <v>16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</row>
        <row r="82">
          <cell r="C82">
            <v>0</v>
          </cell>
          <cell r="D82">
            <v>-10</v>
          </cell>
          <cell r="E82">
            <v>409</v>
          </cell>
          <cell r="F82">
            <v>-317</v>
          </cell>
          <cell r="G82">
            <v>184</v>
          </cell>
          <cell r="H82">
            <v>297</v>
          </cell>
          <cell r="I82">
            <v>555</v>
          </cell>
          <cell r="J82">
            <v>196</v>
          </cell>
          <cell r="K82">
            <v>-194</v>
          </cell>
          <cell r="L82">
            <v>138</v>
          </cell>
          <cell r="M82">
            <v>-83</v>
          </cell>
          <cell r="N82">
            <v>0</v>
          </cell>
          <cell r="O82">
            <v>0</v>
          </cell>
          <cell r="P82">
            <v>-18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</row>
        <row r="83">
          <cell r="C83" t="str">
            <v>Wawrinka</v>
          </cell>
          <cell r="D83">
            <v>0</v>
          </cell>
          <cell r="E83">
            <v>24</v>
          </cell>
          <cell r="F83">
            <v>3</v>
          </cell>
          <cell r="G83">
            <v>-38</v>
          </cell>
          <cell r="H83">
            <v>-18</v>
          </cell>
          <cell r="I83">
            <v>43</v>
          </cell>
          <cell r="J83">
            <v>211</v>
          </cell>
          <cell r="K83">
            <v>62</v>
          </cell>
          <cell r="L83">
            <v>90</v>
          </cell>
          <cell r="M83">
            <v>523</v>
          </cell>
          <cell r="N83">
            <v>207</v>
          </cell>
          <cell r="O83">
            <v>38</v>
          </cell>
          <cell r="P83">
            <v>309</v>
          </cell>
          <cell r="Q83">
            <v>-96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</row>
        <row r="84">
          <cell r="C84" t="str">
            <v>Wawrinka1</v>
          </cell>
          <cell r="D84">
            <v>42</v>
          </cell>
          <cell r="E84">
            <v>-3</v>
          </cell>
          <cell r="F84">
            <v>30</v>
          </cell>
          <cell r="G84">
            <v>87</v>
          </cell>
          <cell r="H84">
            <v>31</v>
          </cell>
          <cell r="I84">
            <v>58</v>
          </cell>
          <cell r="J84">
            <v>82</v>
          </cell>
          <cell r="K84">
            <v>173</v>
          </cell>
          <cell r="L84">
            <v>238</v>
          </cell>
          <cell r="M84">
            <v>-41</v>
          </cell>
          <cell r="N84">
            <v>517</v>
          </cell>
          <cell r="O84">
            <v>259</v>
          </cell>
          <cell r="P84">
            <v>387</v>
          </cell>
          <cell r="Q84">
            <v>-67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</row>
        <row r="85">
          <cell r="C85" t="str">
            <v>Wawrinka2</v>
          </cell>
          <cell r="D85">
            <v>-53</v>
          </cell>
          <cell r="E85">
            <v>75</v>
          </cell>
          <cell r="F85">
            <v>-68</v>
          </cell>
          <cell r="G85">
            <v>-5</v>
          </cell>
          <cell r="H85">
            <v>42</v>
          </cell>
          <cell r="I85">
            <v>-70</v>
          </cell>
          <cell r="J85">
            <v>-48</v>
          </cell>
          <cell r="K85">
            <v>-35</v>
          </cell>
          <cell r="L85">
            <v>-70</v>
          </cell>
          <cell r="M85">
            <v>254</v>
          </cell>
          <cell r="N85">
            <v>236</v>
          </cell>
          <cell r="O85">
            <v>-64</v>
          </cell>
          <cell r="P85">
            <v>-52</v>
          </cell>
          <cell r="Q85">
            <v>-5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</row>
        <row r="86">
          <cell r="C86" t="str">
            <v>Wawrinka3</v>
          </cell>
          <cell r="D86">
            <v>33</v>
          </cell>
          <cell r="E86">
            <v>129</v>
          </cell>
          <cell r="F86">
            <v>110</v>
          </cell>
          <cell r="G86">
            <v>49</v>
          </cell>
          <cell r="H86">
            <v>-99</v>
          </cell>
          <cell r="I86">
            <v>238</v>
          </cell>
          <cell r="J86">
            <v>-98</v>
          </cell>
          <cell r="K86">
            <v>112</v>
          </cell>
          <cell r="L86">
            <v>301</v>
          </cell>
          <cell r="M86">
            <v>126</v>
          </cell>
          <cell r="N86">
            <v>209</v>
          </cell>
          <cell r="O86">
            <v>372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</row>
      </sheetData>
      <sheetData sheetId="1"/>
      <sheetData sheetId="2">
        <row r="3">
          <cell r="C3" t="str">
            <v>Federer</v>
          </cell>
          <cell r="D3" t="str">
            <v>Switzerland</v>
          </cell>
          <cell r="E3">
            <v>18606</v>
          </cell>
          <cell r="F3">
            <v>340</v>
          </cell>
          <cell r="G3">
            <v>53</v>
          </cell>
          <cell r="H3">
            <v>0.86513994910941472</v>
          </cell>
          <cell r="I3">
            <v>592</v>
          </cell>
          <cell r="J3">
            <v>1859</v>
          </cell>
          <cell r="K3">
            <v>39.170483460559794</v>
          </cell>
          <cell r="L3">
            <v>930.3</v>
          </cell>
          <cell r="M3">
            <v>254.87671232876713</v>
          </cell>
          <cell r="N3">
            <v>54.723529411764709</v>
          </cell>
          <cell r="O3">
            <v>1981</v>
          </cell>
          <cell r="P3">
            <v>20</v>
          </cell>
          <cell r="Q3">
            <v>1999</v>
          </cell>
          <cell r="R3">
            <v>2018</v>
          </cell>
          <cell r="S3">
            <v>5457</v>
          </cell>
          <cell r="T3">
            <v>2853</v>
          </cell>
          <cell r="U3">
            <v>5832</v>
          </cell>
          <cell r="V3">
            <v>4464</v>
          </cell>
          <cell r="W3">
            <v>1</v>
          </cell>
          <cell r="X3">
            <v>3</v>
          </cell>
          <cell r="Y3">
            <v>1</v>
          </cell>
          <cell r="Z3">
            <v>2</v>
          </cell>
          <cell r="AA3" t="str">
            <v>Federer</v>
          </cell>
          <cell r="AB3">
            <v>19</v>
          </cell>
          <cell r="AC3">
            <v>17</v>
          </cell>
          <cell r="AD3">
            <v>20</v>
          </cell>
          <cell r="AE3">
            <v>17</v>
          </cell>
          <cell r="AF3">
            <v>287.21052631578948</v>
          </cell>
          <cell r="AG3">
            <v>167.8235294117647</v>
          </cell>
          <cell r="AH3">
            <v>291.60000000000002</v>
          </cell>
          <cell r="AI3">
            <v>262.58823529411762</v>
          </cell>
          <cell r="AJ3">
            <v>73</v>
          </cell>
          <cell r="AK3">
            <v>67</v>
          </cell>
          <cell r="AL3">
            <v>66</v>
          </cell>
          <cell r="AM3">
            <v>61</v>
          </cell>
          <cell r="AN3">
            <v>53</v>
          </cell>
          <cell r="AO3">
            <v>43</v>
          </cell>
          <cell r="AP3">
            <v>30</v>
          </cell>
          <cell r="AQ3">
            <v>20</v>
          </cell>
          <cell r="AR3">
            <v>474.8</v>
          </cell>
          <cell r="AS3">
            <v>389.8</v>
          </cell>
          <cell r="AT3">
            <v>252.76923076923077</v>
          </cell>
          <cell r="AU3">
            <v>156.6</v>
          </cell>
          <cell r="AV3">
            <v>18</v>
          </cell>
          <cell r="AW3">
            <v>20</v>
          </cell>
          <cell r="AX3">
            <v>10</v>
          </cell>
          <cell r="AY3">
            <v>13</v>
          </cell>
          <cell r="AZ3">
            <v>10</v>
          </cell>
          <cell r="BA3">
            <v>20</v>
          </cell>
          <cell r="BB3">
            <v>9496</v>
          </cell>
          <cell r="BC3">
            <v>3898</v>
          </cell>
          <cell r="BD3">
            <v>3286</v>
          </cell>
          <cell r="BE3">
            <v>1566</v>
          </cell>
          <cell r="BF3">
            <v>360</v>
          </cell>
          <cell r="BG3">
            <v>17204.593126895998</v>
          </cell>
          <cell r="BH3">
            <v>18606</v>
          </cell>
          <cell r="BI3">
            <v>-1401.4068731040024</v>
          </cell>
          <cell r="BJ3">
            <v>8</v>
          </cell>
          <cell r="BK3">
            <v>65</v>
          </cell>
          <cell r="BL3">
            <v>18190.110122474744</v>
          </cell>
          <cell r="BM3">
            <v>-415.88987752525645</v>
          </cell>
        </row>
        <row r="4">
          <cell r="C4" t="str">
            <v>Djokovic</v>
          </cell>
          <cell r="D4" t="str">
            <v>Serbia</v>
          </cell>
          <cell r="E4">
            <v>13997</v>
          </cell>
          <cell r="F4">
            <v>253</v>
          </cell>
          <cell r="G4">
            <v>41</v>
          </cell>
          <cell r="H4">
            <v>0.86054421768707479</v>
          </cell>
          <cell r="I4">
            <v>571</v>
          </cell>
          <cell r="J4">
            <v>1906</v>
          </cell>
          <cell r="K4">
            <v>38.445578231292515</v>
          </cell>
          <cell r="L4">
            <v>999.78571428571433</v>
          </cell>
          <cell r="M4">
            <v>259.2037037037037</v>
          </cell>
          <cell r="N4">
            <v>55.324110671936758</v>
          </cell>
          <cell r="O4">
            <v>1987</v>
          </cell>
          <cell r="P4">
            <v>14</v>
          </cell>
          <cell r="Q4">
            <v>2005</v>
          </cell>
          <cell r="R4">
            <v>2018</v>
          </cell>
          <cell r="S4">
            <v>3389</v>
          </cell>
          <cell r="T4">
            <v>3151</v>
          </cell>
          <cell r="U4">
            <v>3772</v>
          </cell>
          <cell r="V4">
            <v>3685</v>
          </cell>
          <cell r="W4">
            <v>2</v>
          </cell>
          <cell r="X4">
            <v>2</v>
          </cell>
          <cell r="Y4">
            <v>3</v>
          </cell>
          <cell r="Z4">
            <v>5</v>
          </cell>
          <cell r="AA4" t="str">
            <v>Djokovic</v>
          </cell>
          <cell r="AB4">
            <v>14</v>
          </cell>
          <cell r="AC4">
            <v>14</v>
          </cell>
          <cell r="AD4">
            <v>14</v>
          </cell>
          <cell r="AE4">
            <v>12</v>
          </cell>
          <cell r="AF4">
            <v>242.07142857142858</v>
          </cell>
          <cell r="AG4">
            <v>225.07142857142858</v>
          </cell>
          <cell r="AH4">
            <v>269.42857142857144</v>
          </cell>
          <cell r="AI4">
            <v>307.08333333333331</v>
          </cell>
          <cell r="AJ4">
            <v>54</v>
          </cell>
          <cell r="AK4">
            <v>52</v>
          </cell>
          <cell r="AL4">
            <v>49</v>
          </cell>
          <cell r="AM4">
            <v>44</v>
          </cell>
          <cell r="AN4">
            <v>41</v>
          </cell>
          <cell r="AO4">
            <v>32</v>
          </cell>
          <cell r="AP4">
            <v>22</v>
          </cell>
          <cell r="AQ4">
            <v>13</v>
          </cell>
          <cell r="AR4">
            <v>508.76923076923077</v>
          </cell>
          <cell r="AS4">
            <v>370.77777777777777</v>
          </cell>
          <cell r="AT4">
            <v>248.4</v>
          </cell>
          <cell r="AU4">
            <v>133.22222222222223</v>
          </cell>
          <cell r="AV4">
            <v>27.923076923076923</v>
          </cell>
          <cell r="AW4">
            <v>13</v>
          </cell>
          <cell r="AX4">
            <v>9</v>
          </cell>
          <cell r="AY4">
            <v>10</v>
          </cell>
          <cell r="AZ4">
            <v>9</v>
          </cell>
          <cell r="BA4">
            <v>13</v>
          </cell>
          <cell r="BB4">
            <v>6614</v>
          </cell>
          <cell r="BC4">
            <v>3337</v>
          </cell>
          <cell r="BD4">
            <v>2484</v>
          </cell>
          <cell r="BE4">
            <v>1199</v>
          </cell>
          <cell r="BF4">
            <v>363</v>
          </cell>
          <cell r="BG4">
            <v>12781.224638378826</v>
          </cell>
          <cell r="BH4">
            <v>13997</v>
          </cell>
          <cell r="BI4">
            <v>-1215.7753616211739</v>
          </cell>
          <cell r="BJ4">
            <v>0</v>
          </cell>
          <cell r="BK4">
            <v>54</v>
          </cell>
          <cell r="BL4">
            <v>13577.305668789633</v>
          </cell>
          <cell r="BM4">
            <v>-419.69433121036673</v>
          </cell>
        </row>
        <row r="5">
          <cell r="C5" t="str">
            <v>Nadal</v>
          </cell>
          <cell r="D5" t="str">
            <v>Spain</v>
          </cell>
          <cell r="E5">
            <v>12509</v>
          </cell>
          <cell r="F5">
            <v>242</v>
          </cell>
          <cell r="G5">
            <v>36</v>
          </cell>
          <cell r="H5">
            <v>0.87050359712230219</v>
          </cell>
          <cell r="I5">
            <v>552</v>
          </cell>
          <cell r="J5">
            <v>1674</v>
          </cell>
          <cell r="K5">
            <v>42.053956834532372</v>
          </cell>
          <cell r="L5">
            <v>781.8125</v>
          </cell>
          <cell r="M5">
            <v>236.01886792452831</v>
          </cell>
          <cell r="N5">
            <v>51.690082644628099</v>
          </cell>
          <cell r="O5">
            <v>1986</v>
          </cell>
          <cell r="P5">
            <v>16</v>
          </cell>
          <cell r="Q5">
            <v>2003</v>
          </cell>
          <cell r="R5">
            <v>2018</v>
          </cell>
          <cell r="S5">
            <v>2802</v>
          </cell>
          <cell r="T5">
            <v>5506</v>
          </cell>
          <cell r="U5">
            <v>2037</v>
          </cell>
          <cell r="V5">
            <v>2164</v>
          </cell>
          <cell r="W5">
            <v>3</v>
          </cell>
          <cell r="X5">
            <v>1</v>
          </cell>
          <cell r="Y5">
            <v>9</v>
          </cell>
          <cell r="Z5">
            <v>8</v>
          </cell>
          <cell r="AA5" t="str">
            <v>Nadal</v>
          </cell>
          <cell r="AB5">
            <v>13</v>
          </cell>
          <cell r="AC5">
            <v>14</v>
          </cell>
          <cell r="AD5">
            <v>13</v>
          </cell>
          <cell r="AE5">
            <v>13</v>
          </cell>
          <cell r="AF5">
            <v>215.53846153846155</v>
          </cell>
          <cell r="AG5">
            <v>393.28571428571428</v>
          </cell>
          <cell r="AH5">
            <v>156.69230769230768</v>
          </cell>
          <cell r="AI5">
            <v>166.46153846153845</v>
          </cell>
          <cell r="AJ5">
            <v>53</v>
          </cell>
          <cell r="AK5">
            <v>51</v>
          </cell>
          <cell r="AL5">
            <v>46</v>
          </cell>
          <cell r="AM5">
            <v>41</v>
          </cell>
          <cell r="AN5">
            <v>35</v>
          </cell>
          <cell r="AO5">
            <v>28</v>
          </cell>
          <cell r="AP5">
            <v>24</v>
          </cell>
          <cell r="AQ5">
            <v>17</v>
          </cell>
          <cell r="AR5">
            <v>474.1764705882353</v>
          </cell>
          <cell r="AS5">
            <v>358.28571428571428</v>
          </cell>
          <cell r="AT5">
            <v>201.25</v>
          </cell>
          <cell r="AU5">
            <v>142.42857142857142</v>
          </cell>
          <cell r="AV5">
            <v>7.666666666666667</v>
          </cell>
          <cell r="AW5">
            <v>17</v>
          </cell>
          <cell r="AX5">
            <v>7</v>
          </cell>
          <cell r="AY5">
            <v>4</v>
          </cell>
          <cell r="AZ5">
            <v>7</v>
          </cell>
          <cell r="BA5">
            <v>18</v>
          </cell>
          <cell r="BB5">
            <v>8061</v>
          </cell>
          <cell r="BC5">
            <v>2508</v>
          </cell>
          <cell r="BD5">
            <v>805</v>
          </cell>
          <cell r="BE5">
            <v>996.99999999999989</v>
          </cell>
          <cell r="BF5">
            <v>138</v>
          </cell>
          <cell r="BG5">
            <v>12261.123166693782</v>
          </cell>
          <cell r="BH5">
            <v>12509</v>
          </cell>
          <cell r="BI5">
            <v>-247.87683330621803</v>
          </cell>
          <cell r="BJ5">
            <v>0</v>
          </cell>
          <cell r="BK5">
            <v>53</v>
          </cell>
          <cell r="BL5">
            <v>12097.07778603427</v>
          </cell>
          <cell r="BM5">
            <v>-411.92221396573041</v>
          </cell>
        </row>
        <row r="6">
          <cell r="C6" t="str">
            <v>Connors</v>
          </cell>
          <cell r="D6" t="str">
            <v>USA</v>
          </cell>
          <cell r="E6">
            <v>10870</v>
          </cell>
          <cell r="F6">
            <v>235</v>
          </cell>
          <cell r="G6">
            <v>49</v>
          </cell>
          <cell r="H6">
            <v>0.82746478873239437</v>
          </cell>
          <cell r="I6">
            <v>563</v>
          </cell>
          <cell r="J6">
            <v>1374</v>
          </cell>
          <cell r="K6">
            <v>44.471830985915496</v>
          </cell>
          <cell r="L6">
            <v>472.60869565217394</v>
          </cell>
          <cell r="M6">
            <v>190.7017543859649</v>
          </cell>
          <cell r="N6">
            <v>46.255319148936174</v>
          </cell>
          <cell r="O6">
            <v>1952</v>
          </cell>
          <cell r="P6">
            <v>23</v>
          </cell>
          <cell r="Q6">
            <v>1970</v>
          </cell>
          <cell r="R6">
            <v>1992</v>
          </cell>
          <cell r="S6">
            <v>401</v>
          </cell>
          <cell r="T6">
            <v>1405</v>
          </cell>
          <cell r="U6">
            <v>3864</v>
          </cell>
          <cell r="V6">
            <v>5200</v>
          </cell>
          <cell r="W6">
            <v>15</v>
          </cell>
          <cell r="X6">
            <v>13</v>
          </cell>
          <cell r="Y6">
            <v>2</v>
          </cell>
          <cell r="Z6">
            <v>1</v>
          </cell>
          <cell r="AA6" t="str">
            <v>Connors</v>
          </cell>
          <cell r="AB6">
            <v>2</v>
          </cell>
          <cell r="AC6">
            <v>13</v>
          </cell>
          <cell r="AD6">
            <v>20</v>
          </cell>
          <cell r="AE6">
            <v>22</v>
          </cell>
          <cell r="AF6">
            <v>200.5</v>
          </cell>
          <cell r="AG6">
            <v>108.07692307692308</v>
          </cell>
          <cell r="AH6">
            <v>193.2</v>
          </cell>
          <cell r="AI6">
            <v>236.36363636363637</v>
          </cell>
          <cell r="AJ6">
            <v>57</v>
          </cell>
          <cell r="AK6">
            <v>51</v>
          </cell>
          <cell r="AL6">
            <v>46</v>
          </cell>
          <cell r="AM6">
            <v>43</v>
          </cell>
          <cell r="AN6">
            <v>41</v>
          </cell>
          <cell r="AO6">
            <v>31</v>
          </cell>
          <cell r="AP6">
            <v>15</v>
          </cell>
          <cell r="AQ6">
            <v>8</v>
          </cell>
          <cell r="AR6">
            <v>463.25</v>
          </cell>
          <cell r="AS6">
            <v>329.42857142857144</v>
          </cell>
          <cell r="AT6">
            <v>234.75</v>
          </cell>
          <cell r="AU6">
            <v>125.1</v>
          </cell>
          <cell r="AV6">
            <v>-9.3125</v>
          </cell>
          <cell r="AW6">
            <v>8</v>
          </cell>
          <cell r="AX6">
            <v>7</v>
          </cell>
          <cell r="AY6">
            <v>16</v>
          </cell>
          <cell r="AZ6">
            <v>10</v>
          </cell>
          <cell r="BA6">
            <v>16</v>
          </cell>
          <cell r="BB6">
            <v>3706</v>
          </cell>
          <cell r="BC6">
            <v>2306</v>
          </cell>
          <cell r="BD6">
            <v>3756</v>
          </cell>
          <cell r="BE6">
            <v>1251</v>
          </cell>
          <cell r="BF6">
            <v>-149</v>
          </cell>
          <cell r="BG6">
            <v>11332.988216480582</v>
          </cell>
          <cell r="BH6">
            <v>10870</v>
          </cell>
          <cell r="BI6">
            <v>462.9882164805822</v>
          </cell>
          <cell r="BJ6">
            <v>57</v>
          </cell>
          <cell r="BK6">
            <v>0</v>
          </cell>
          <cell r="BL6">
            <v>11506.246421554792</v>
          </cell>
          <cell r="BM6">
            <v>636.2464215547916</v>
          </cell>
        </row>
        <row r="7">
          <cell r="C7" t="str">
            <v>Lendl</v>
          </cell>
          <cell r="D7" t="str">
            <v>Czechoslovakia</v>
          </cell>
          <cell r="E7">
            <v>10423</v>
          </cell>
          <cell r="F7">
            <v>226</v>
          </cell>
          <cell r="G7">
            <v>49</v>
          </cell>
          <cell r="H7">
            <v>0.82181818181818178</v>
          </cell>
          <cell r="I7">
            <v>543</v>
          </cell>
          <cell r="J7">
            <v>1484</v>
          </cell>
          <cell r="K7">
            <v>44.28</v>
          </cell>
          <cell r="L7">
            <v>613.11764705882354</v>
          </cell>
          <cell r="M7">
            <v>182.85964912280701</v>
          </cell>
          <cell r="N7">
            <v>46.119469026548671</v>
          </cell>
          <cell r="O7">
            <v>1960</v>
          </cell>
          <cell r="P7">
            <v>17</v>
          </cell>
          <cell r="Q7">
            <v>1978</v>
          </cell>
          <cell r="R7">
            <v>1994</v>
          </cell>
          <cell r="S7">
            <v>2365</v>
          </cell>
          <cell r="T7">
            <v>2607</v>
          </cell>
          <cell r="U7">
            <v>1397</v>
          </cell>
          <cell r="V7">
            <v>4054</v>
          </cell>
          <cell r="W7">
            <v>5</v>
          </cell>
          <cell r="X7">
            <v>5</v>
          </cell>
          <cell r="Y7">
            <v>12</v>
          </cell>
          <cell r="Z7">
            <v>3</v>
          </cell>
          <cell r="AA7" t="str">
            <v>Lendl</v>
          </cell>
          <cell r="AB7">
            <v>12</v>
          </cell>
          <cell r="AC7">
            <v>15</v>
          </cell>
          <cell r="AD7">
            <v>14</v>
          </cell>
          <cell r="AE7">
            <v>16</v>
          </cell>
          <cell r="AF7">
            <v>197.08333333333334</v>
          </cell>
          <cell r="AG7">
            <v>173.8</v>
          </cell>
          <cell r="AH7">
            <v>99.785714285714292</v>
          </cell>
          <cell r="AI7">
            <v>253.375</v>
          </cell>
          <cell r="AJ7">
            <v>57</v>
          </cell>
          <cell r="AK7">
            <v>50</v>
          </cell>
          <cell r="AL7">
            <v>45</v>
          </cell>
          <cell r="AM7">
            <v>42</v>
          </cell>
          <cell r="AN7">
            <v>34</v>
          </cell>
          <cell r="AO7">
            <v>28</v>
          </cell>
          <cell r="AP7">
            <v>19</v>
          </cell>
          <cell r="AQ7">
            <v>8</v>
          </cell>
          <cell r="AR7">
            <v>459.25</v>
          </cell>
          <cell r="AS7">
            <v>371.54545454545456</v>
          </cell>
          <cell r="AT7">
            <v>173.11111111111111</v>
          </cell>
          <cell r="AU7">
            <v>131.83333333333334</v>
          </cell>
          <cell r="AV7">
            <v>13.608695652173912</v>
          </cell>
          <cell r="AW7">
            <v>8</v>
          </cell>
          <cell r="AX7">
            <v>11</v>
          </cell>
          <cell r="AY7">
            <v>9</v>
          </cell>
          <cell r="AZ7">
            <v>6</v>
          </cell>
          <cell r="BA7">
            <v>23</v>
          </cell>
          <cell r="BB7">
            <v>3674</v>
          </cell>
          <cell r="BC7">
            <v>4087</v>
          </cell>
          <cell r="BD7">
            <v>1558</v>
          </cell>
          <cell r="BE7">
            <v>791</v>
          </cell>
          <cell r="BF7">
            <v>313</v>
          </cell>
          <cell r="BG7">
            <v>10547.359030260755</v>
          </cell>
          <cell r="BH7">
            <v>10423</v>
          </cell>
          <cell r="BI7">
            <v>124.35903026075539</v>
          </cell>
          <cell r="BJ7">
            <v>57</v>
          </cell>
          <cell r="BK7">
            <v>0</v>
          </cell>
          <cell r="BL7">
            <v>11059.246421554792</v>
          </cell>
          <cell r="BM7">
            <v>636.2464215547916</v>
          </cell>
        </row>
        <row r="8">
          <cell r="C8" t="str">
            <v>Sampras</v>
          </cell>
          <cell r="D8" t="str">
            <v>USA</v>
          </cell>
          <cell r="E8">
            <v>9391</v>
          </cell>
          <cell r="F8">
            <v>203</v>
          </cell>
          <cell r="G8">
            <v>38</v>
          </cell>
          <cell r="H8">
            <v>0.84232365145228216</v>
          </cell>
          <cell r="I8">
            <v>515</v>
          </cell>
          <cell r="J8">
            <v>1416</v>
          </cell>
          <cell r="K8">
            <v>45.265560165975103</v>
          </cell>
          <cell r="L8">
            <v>626.06666666666672</v>
          </cell>
          <cell r="M8">
            <v>180.59615384615384</v>
          </cell>
          <cell r="N8">
            <v>46.261083743842363</v>
          </cell>
          <cell r="O8">
            <v>1971</v>
          </cell>
          <cell r="P8">
            <v>15</v>
          </cell>
          <cell r="Q8">
            <v>1988</v>
          </cell>
          <cell r="R8">
            <v>2002</v>
          </cell>
          <cell r="S8">
            <v>2030</v>
          </cell>
          <cell r="T8">
            <v>580</v>
          </cell>
          <cell r="U8">
            <v>3006</v>
          </cell>
          <cell r="V8">
            <v>3775</v>
          </cell>
          <cell r="W8">
            <v>8</v>
          </cell>
          <cell r="X8">
            <v>17</v>
          </cell>
          <cell r="Y8">
            <v>7</v>
          </cell>
          <cell r="Z8">
            <v>4</v>
          </cell>
          <cell r="AA8" t="str">
            <v>Sampras</v>
          </cell>
          <cell r="AB8">
            <v>11</v>
          </cell>
          <cell r="AC8">
            <v>13</v>
          </cell>
          <cell r="AD8">
            <v>14</v>
          </cell>
          <cell r="AE8">
            <v>14</v>
          </cell>
          <cell r="AF8">
            <v>184.54545454545453</v>
          </cell>
          <cell r="AG8">
            <v>44.615384615384613</v>
          </cell>
          <cell r="AH8">
            <v>214.71428571428572</v>
          </cell>
          <cell r="AI8">
            <v>269.64285714285717</v>
          </cell>
          <cell r="AJ8">
            <v>52</v>
          </cell>
          <cell r="AK8">
            <v>45</v>
          </cell>
          <cell r="AL8">
            <v>38</v>
          </cell>
          <cell r="AM8">
            <v>36</v>
          </cell>
          <cell r="AN8">
            <v>29</v>
          </cell>
          <cell r="AO8">
            <v>23</v>
          </cell>
          <cell r="AP8">
            <v>18</v>
          </cell>
          <cell r="AQ8">
            <v>14</v>
          </cell>
          <cell r="AR8">
            <v>432.28571428571428</v>
          </cell>
          <cell r="AS8">
            <v>315.75</v>
          </cell>
          <cell r="AT8">
            <v>239.6</v>
          </cell>
          <cell r="AU8">
            <v>169.83333333333334</v>
          </cell>
          <cell r="AV8">
            <v>-6.1304347826086953</v>
          </cell>
          <cell r="AW8">
            <v>14</v>
          </cell>
          <cell r="AX8">
            <v>4</v>
          </cell>
          <cell r="AY8">
            <v>5</v>
          </cell>
          <cell r="AZ8">
            <v>6</v>
          </cell>
          <cell r="BA8">
            <v>23</v>
          </cell>
          <cell r="BB8">
            <v>6052</v>
          </cell>
          <cell r="BC8">
            <v>1263</v>
          </cell>
          <cell r="BD8">
            <v>1198</v>
          </cell>
          <cell r="BE8">
            <v>1019</v>
          </cell>
          <cell r="BF8">
            <v>-141</v>
          </cell>
          <cell r="BG8">
            <v>9942.2060139370315</v>
          </cell>
          <cell r="BH8">
            <v>9391</v>
          </cell>
          <cell r="BI8">
            <v>551.20601393703146</v>
          </cell>
          <cell r="BJ8">
            <v>46</v>
          </cell>
          <cell r="BK8">
            <v>6</v>
          </cell>
          <cell r="BL8">
            <v>9857.8293209448202</v>
          </cell>
          <cell r="BM8">
            <v>466.82932094482021</v>
          </cell>
        </row>
        <row r="9">
          <cell r="C9" t="str">
            <v>Murray</v>
          </cell>
          <cell r="D9" t="str">
            <v>UK</v>
          </cell>
          <cell r="E9">
            <v>9311</v>
          </cell>
          <cell r="F9">
            <v>188</v>
          </cell>
          <cell r="G9">
            <v>43</v>
          </cell>
          <cell r="H9">
            <v>0.81385281385281383</v>
          </cell>
          <cell r="I9">
            <v>513</v>
          </cell>
          <cell r="J9">
            <v>1435</v>
          </cell>
          <cell r="K9">
            <v>41.077922077922075</v>
          </cell>
          <cell r="L9">
            <v>716.23076923076928</v>
          </cell>
          <cell r="M9">
            <v>202.41304347826087</v>
          </cell>
          <cell r="N9">
            <v>49.526595744680854</v>
          </cell>
          <cell r="O9">
            <v>1987</v>
          </cell>
          <cell r="P9">
            <v>13</v>
          </cell>
          <cell r="Q9">
            <v>2005</v>
          </cell>
          <cell r="R9">
            <v>2017</v>
          </cell>
          <cell r="S9">
            <v>2246</v>
          </cell>
          <cell r="T9">
            <v>1880</v>
          </cell>
          <cell r="U9">
            <v>3240</v>
          </cell>
          <cell r="V9">
            <v>1945</v>
          </cell>
          <cell r="W9">
            <v>6</v>
          </cell>
          <cell r="X9">
            <v>8</v>
          </cell>
          <cell r="Y9">
            <v>6</v>
          </cell>
          <cell r="Z9">
            <v>10</v>
          </cell>
          <cell r="AA9" t="str">
            <v>Murray</v>
          </cell>
          <cell r="AB9">
            <v>12</v>
          </cell>
          <cell r="AC9">
            <v>10</v>
          </cell>
          <cell r="AD9">
            <v>12</v>
          </cell>
          <cell r="AE9">
            <v>12</v>
          </cell>
          <cell r="AF9">
            <v>187.16666666666666</v>
          </cell>
          <cell r="AG9">
            <v>188</v>
          </cell>
          <cell r="AH9">
            <v>270</v>
          </cell>
          <cell r="AI9">
            <v>162.08333333333334</v>
          </cell>
          <cell r="AJ9">
            <v>46</v>
          </cell>
          <cell r="AK9">
            <v>43</v>
          </cell>
          <cell r="AL9">
            <v>42</v>
          </cell>
          <cell r="AM9">
            <v>38</v>
          </cell>
          <cell r="AN9">
            <v>30</v>
          </cell>
          <cell r="AO9">
            <v>21</v>
          </cell>
          <cell r="AP9">
            <v>11</v>
          </cell>
          <cell r="AQ9">
            <v>3</v>
          </cell>
          <cell r="AR9">
            <v>469</v>
          </cell>
          <cell r="AS9">
            <v>375.75</v>
          </cell>
          <cell r="AT9">
            <v>262.60000000000002</v>
          </cell>
          <cell r="AU9">
            <v>158.44444444444446</v>
          </cell>
          <cell r="AV9">
            <v>52.875</v>
          </cell>
          <cell r="AW9">
            <v>3</v>
          </cell>
          <cell r="AX9">
            <v>8</v>
          </cell>
          <cell r="AY9">
            <v>10</v>
          </cell>
          <cell r="AZ9">
            <v>9</v>
          </cell>
          <cell r="BA9">
            <v>16</v>
          </cell>
          <cell r="BB9">
            <v>1407</v>
          </cell>
          <cell r="BC9">
            <v>3006</v>
          </cell>
          <cell r="BD9">
            <v>2626</v>
          </cell>
          <cell r="BE9">
            <v>1426</v>
          </cell>
          <cell r="BF9">
            <v>846</v>
          </cell>
          <cell r="BG9">
            <v>7859.6912078720998</v>
          </cell>
          <cell r="BH9">
            <v>9311</v>
          </cell>
          <cell r="BI9">
            <v>-1451.3087921279002</v>
          </cell>
          <cell r="BJ9">
            <v>0</v>
          </cell>
          <cell r="BK9">
            <v>46</v>
          </cell>
          <cell r="BL9">
            <v>8953.4826067467238</v>
          </cell>
          <cell r="BM9">
            <v>-357.51739325327617</v>
          </cell>
        </row>
        <row r="10">
          <cell r="C10" t="str">
            <v>Agassi</v>
          </cell>
          <cell r="D10" t="str">
            <v>USA</v>
          </cell>
          <cell r="E10">
            <v>8891</v>
          </cell>
          <cell r="F10">
            <v>224</v>
          </cell>
          <cell r="G10">
            <v>53</v>
          </cell>
          <cell r="H10">
            <v>0.80866425992779778</v>
          </cell>
          <cell r="I10">
            <v>509</v>
          </cell>
          <cell r="J10">
            <v>1070</v>
          </cell>
          <cell r="K10">
            <v>48.768953068592054</v>
          </cell>
          <cell r="L10">
            <v>423.38095238095241</v>
          </cell>
          <cell r="M10">
            <v>145.75409836065575</v>
          </cell>
          <cell r="N10">
            <v>39.691964285714285</v>
          </cell>
          <cell r="O10">
            <v>1970</v>
          </cell>
          <cell r="P10">
            <v>21</v>
          </cell>
          <cell r="Q10">
            <v>1986</v>
          </cell>
          <cell r="R10">
            <v>2006</v>
          </cell>
          <cell r="S10">
            <v>2400</v>
          </cell>
          <cell r="T10">
            <v>1517</v>
          </cell>
          <cell r="U10">
            <v>1739</v>
          </cell>
          <cell r="V10">
            <v>3235</v>
          </cell>
          <cell r="W10">
            <v>4</v>
          </cell>
          <cell r="X10">
            <v>12</v>
          </cell>
          <cell r="Y10">
            <v>10</v>
          </cell>
          <cell r="Z10">
            <v>6</v>
          </cell>
          <cell r="AA10" t="str">
            <v>Agassi</v>
          </cell>
          <cell r="AB10">
            <v>9</v>
          </cell>
          <cell r="AC10">
            <v>17</v>
          </cell>
          <cell r="AD10">
            <v>14</v>
          </cell>
          <cell r="AE10">
            <v>21</v>
          </cell>
          <cell r="AF10">
            <v>266.66666666666669</v>
          </cell>
          <cell r="AG10">
            <v>89.235294117647058</v>
          </cell>
          <cell r="AH10">
            <v>124.21428571428571</v>
          </cell>
          <cell r="AI10">
            <v>154.04761904761904</v>
          </cell>
          <cell r="AJ10">
            <v>61</v>
          </cell>
          <cell r="AK10">
            <v>52</v>
          </cell>
          <cell r="AL10">
            <v>45</v>
          </cell>
          <cell r="AM10">
            <v>42</v>
          </cell>
          <cell r="AN10">
            <v>36</v>
          </cell>
          <cell r="AO10">
            <v>26</v>
          </cell>
          <cell r="AP10">
            <v>15</v>
          </cell>
          <cell r="AQ10">
            <v>8</v>
          </cell>
          <cell r="AR10">
            <v>414.5</v>
          </cell>
          <cell r="AS10">
            <v>314.71428571428572</v>
          </cell>
          <cell r="AT10">
            <v>192.36363636363637</v>
          </cell>
          <cell r="AU10">
            <v>166.6</v>
          </cell>
          <cell r="AV10">
            <v>-16.399999999999999</v>
          </cell>
          <cell r="AW10">
            <v>8</v>
          </cell>
          <cell r="AX10">
            <v>7</v>
          </cell>
          <cell r="AY10">
            <v>11</v>
          </cell>
          <cell r="AZ10">
            <v>10</v>
          </cell>
          <cell r="BA10">
            <v>25</v>
          </cell>
          <cell r="BB10">
            <v>3316</v>
          </cell>
          <cell r="BC10">
            <v>2203</v>
          </cell>
          <cell r="BD10">
            <v>2116</v>
          </cell>
          <cell r="BE10">
            <v>1666</v>
          </cell>
          <cell r="BF10">
            <v>-409.99999999999994</v>
          </cell>
          <cell r="BG10">
            <v>10217.692148483182</v>
          </cell>
          <cell r="BH10">
            <v>8891</v>
          </cell>
          <cell r="BI10">
            <v>1326.6921484831819</v>
          </cell>
          <cell r="BJ10">
            <v>44</v>
          </cell>
          <cell r="BK10">
            <v>17</v>
          </cell>
          <cell r="BL10">
            <v>9250.011595409791</v>
          </cell>
          <cell r="BM10">
            <v>359.01159540979097</v>
          </cell>
        </row>
        <row r="11">
          <cell r="C11" t="str">
            <v>Borg</v>
          </cell>
          <cell r="D11" t="str">
            <v>Sweden</v>
          </cell>
          <cell r="E11">
            <v>7977</v>
          </cell>
          <cell r="F11">
            <v>142</v>
          </cell>
          <cell r="G11">
            <v>16</v>
          </cell>
          <cell r="H11">
            <v>0.89873417721518989</v>
          </cell>
          <cell r="I11">
            <v>572</v>
          </cell>
          <cell r="J11">
            <v>1371</v>
          </cell>
          <cell r="K11">
            <v>39.38607594936709</v>
          </cell>
          <cell r="L11">
            <v>886.33333333333337</v>
          </cell>
          <cell r="M11">
            <v>295.44444444444446</v>
          </cell>
          <cell r="N11">
            <v>56.176056338028168</v>
          </cell>
          <cell r="O11">
            <v>1956</v>
          </cell>
          <cell r="P11">
            <v>9</v>
          </cell>
          <cell r="Q11">
            <v>1973</v>
          </cell>
          <cell r="R11">
            <v>1981</v>
          </cell>
          <cell r="S11">
            <v>32</v>
          </cell>
          <cell r="T11">
            <v>2700</v>
          </cell>
          <cell r="U11">
            <v>3292</v>
          </cell>
          <cell r="V11">
            <v>1953</v>
          </cell>
          <cell r="W11">
            <v>16</v>
          </cell>
          <cell r="X11">
            <v>4</v>
          </cell>
          <cell r="Y11">
            <v>5</v>
          </cell>
          <cell r="Z11">
            <v>9</v>
          </cell>
          <cell r="AA11" t="str">
            <v>Borg</v>
          </cell>
          <cell r="AB11">
            <v>1</v>
          </cell>
          <cell r="AC11">
            <v>8</v>
          </cell>
          <cell r="AD11">
            <v>9</v>
          </cell>
          <cell r="AE11">
            <v>9</v>
          </cell>
          <cell r="AF11">
            <v>32</v>
          </cell>
          <cell r="AG11">
            <v>337.5</v>
          </cell>
          <cell r="AH11">
            <v>365.77777777777777</v>
          </cell>
          <cell r="AI11">
            <v>217</v>
          </cell>
          <cell r="AJ11">
            <v>27</v>
          </cell>
          <cell r="AK11">
            <v>27</v>
          </cell>
          <cell r="AL11">
            <v>26</v>
          </cell>
          <cell r="AM11">
            <v>24</v>
          </cell>
          <cell r="AN11">
            <v>21</v>
          </cell>
          <cell r="AO11">
            <v>17</v>
          </cell>
          <cell r="AP11">
            <v>16</v>
          </cell>
          <cell r="AQ11">
            <v>11</v>
          </cell>
          <cell r="AR11">
            <v>444</v>
          </cell>
          <cell r="AS11">
            <v>402.6</v>
          </cell>
          <cell r="AT11">
            <v>317</v>
          </cell>
          <cell r="AU11">
            <v>122.5</v>
          </cell>
          <cell r="AV11">
            <v>45.5</v>
          </cell>
          <cell r="AW11">
            <v>11</v>
          </cell>
          <cell r="AX11">
            <v>5</v>
          </cell>
          <cell r="AY11">
            <v>1</v>
          </cell>
          <cell r="AZ11">
            <v>4</v>
          </cell>
          <cell r="BA11">
            <v>6</v>
          </cell>
          <cell r="BB11">
            <v>4884</v>
          </cell>
          <cell r="BC11">
            <v>2013</v>
          </cell>
          <cell r="BD11">
            <v>317</v>
          </cell>
          <cell r="BE11">
            <v>490</v>
          </cell>
          <cell r="BF11">
            <v>273</v>
          </cell>
          <cell r="BG11">
            <v>7631.589882974381</v>
          </cell>
          <cell r="BH11">
            <v>7977</v>
          </cell>
          <cell r="BI11">
            <v>-345.410117025619</v>
          </cell>
          <cell r="BJ11">
            <v>27</v>
          </cell>
          <cell r="BK11">
            <v>0</v>
          </cell>
          <cell r="BL11">
            <v>8278.3798838943749</v>
          </cell>
          <cell r="BM11">
            <v>301.37988389437487</v>
          </cell>
        </row>
        <row r="12">
          <cell r="C12" t="str">
            <v>McEnroe</v>
          </cell>
          <cell r="D12" t="str">
            <v>USA</v>
          </cell>
          <cell r="E12">
            <v>7077</v>
          </cell>
          <cell r="F12">
            <v>170</v>
          </cell>
          <cell r="G12">
            <v>38</v>
          </cell>
          <cell r="H12">
            <v>0.81730769230769229</v>
          </cell>
          <cell r="I12">
            <v>540</v>
          </cell>
          <cell r="J12">
            <v>1303</v>
          </cell>
          <cell r="K12">
            <v>47.706730769230766</v>
          </cell>
          <cell r="L12">
            <v>442.3125</v>
          </cell>
          <cell r="M12">
            <v>157.26666666666668</v>
          </cell>
          <cell r="N12">
            <v>41.629411764705885</v>
          </cell>
          <cell r="O12">
            <v>1959</v>
          </cell>
          <cell r="P12">
            <v>16</v>
          </cell>
          <cell r="Q12">
            <v>1977</v>
          </cell>
          <cell r="R12">
            <v>1992</v>
          </cell>
          <cell r="S12">
            <v>568</v>
          </cell>
          <cell r="T12">
            <v>746</v>
          </cell>
          <cell r="U12">
            <v>2650</v>
          </cell>
          <cell r="V12">
            <v>3113</v>
          </cell>
          <cell r="W12">
            <v>14</v>
          </cell>
          <cell r="X12">
            <v>16</v>
          </cell>
          <cell r="Y12">
            <v>8</v>
          </cell>
          <cell r="Z12">
            <v>7</v>
          </cell>
          <cell r="AA12" t="str">
            <v>McEnroe</v>
          </cell>
          <cell r="AB12">
            <v>5</v>
          </cell>
          <cell r="AC12">
            <v>10</v>
          </cell>
          <cell r="AD12">
            <v>14</v>
          </cell>
          <cell r="AE12">
            <v>16</v>
          </cell>
          <cell r="AF12">
            <v>113.6</v>
          </cell>
          <cell r="AG12">
            <v>74.599999999999994</v>
          </cell>
          <cell r="AH12">
            <v>189.28571428571428</v>
          </cell>
          <cell r="AI12">
            <v>194.5625</v>
          </cell>
          <cell r="AJ12">
            <v>45</v>
          </cell>
          <cell r="AK12">
            <v>39</v>
          </cell>
          <cell r="AL12">
            <v>35</v>
          </cell>
          <cell r="AM12">
            <v>33</v>
          </cell>
          <cell r="AN12">
            <v>26</v>
          </cell>
          <cell r="AO12">
            <v>19</v>
          </cell>
          <cell r="AP12">
            <v>11</v>
          </cell>
          <cell r="AQ12">
            <v>7</v>
          </cell>
          <cell r="AR12">
            <v>447.14285714285717</v>
          </cell>
          <cell r="AS12">
            <v>347</v>
          </cell>
          <cell r="AT12">
            <v>230.5</v>
          </cell>
          <cell r="AU12">
            <v>130</v>
          </cell>
          <cell r="AV12">
            <v>-10.263157894736842</v>
          </cell>
          <cell r="AW12">
            <v>7</v>
          </cell>
          <cell r="AX12">
            <v>4</v>
          </cell>
          <cell r="AY12">
            <v>8</v>
          </cell>
          <cell r="AZ12">
            <v>7</v>
          </cell>
          <cell r="BA12">
            <v>19</v>
          </cell>
          <cell r="BB12">
            <v>3130</v>
          </cell>
          <cell r="BC12">
            <v>1388</v>
          </cell>
          <cell r="BD12">
            <v>1844</v>
          </cell>
          <cell r="BE12">
            <v>910</v>
          </cell>
          <cell r="BF12">
            <v>-195</v>
          </cell>
          <cell r="BG12">
            <v>7555.8832932993346</v>
          </cell>
          <cell r="BH12">
            <v>7077</v>
          </cell>
          <cell r="BI12">
            <v>478.88329329933458</v>
          </cell>
          <cell r="BJ12">
            <v>45</v>
          </cell>
          <cell r="BK12">
            <v>0</v>
          </cell>
          <cell r="BL12">
            <v>7579.2998064906251</v>
          </cell>
          <cell r="BM12">
            <v>502.29980649062509</v>
          </cell>
        </row>
        <row r="13">
          <cell r="C13" t="str">
            <v>Becker</v>
          </cell>
          <cell r="D13" t="str">
            <v>Germany</v>
          </cell>
          <cell r="E13">
            <v>6740</v>
          </cell>
          <cell r="F13">
            <v>165</v>
          </cell>
          <cell r="G13">
            <v>40</v>
          </cell>
          <cell r="H13">
            <v>0.80487804878048785</v>
          </cell>
          <cell r="I13">
            <v>527</v>
          </cell>
          <cell r="J13">
            <v>1126</v>
          </cell>
          <cell r="K13">
            <v>47.609756097560975</v>
          </cell>
          <cell r="L13">
            <v>421.25</v>
          </cell>
          <cell r="M13">
            <v>146.52173913043478</v>
          </cell>
          <cell r="N13">
            <v>40.848484848484851</v>
          </cell>
          <cell r="O13">
            <v>1967</v>
          </cell>
          <cell r="P13">
            <v>16</v>
          </cell>
          <cell r="Q13">
            <v>1984</v>
          </cell>
          <cell r="R13">
            <v>1999</v>
          </cell>
          <cell r="S13">
            <v>884</v>
          </cell>
          <cell r="T13">
            <v>942</v>
          </cell>
          <cell r="U13">
            <v>3615</v>
          </cell>
          <cell r="V13">
            <v>1299</v>
          </cell>
          <cell r="W13">
            <v>13</v>
          </cell>
          <cell r="X13">
            <v>15</v>
          </cell>
          <cell r="Y13">
            <v>4</v>
          </cell>
          <cell r="Z13">
            <v>14</v>
          </cell>
          <cell r="AA13" t="str">
            <v>Becker</v>
          </cell>
          <cell r="AB13">
            <v>11</v>
          </cell>
          <cell r="AC13">
            <v>9</v>
          </cell>
          <cell r="AD13">
            <v>15</v>
          </cell>
          <cell r="AE13">
            <v>11</v>
          </cell>
          <cell r="AF13">
            <v>80.36363636363636</v>
          </cell>
          <cell r="AG13">
            <v>104.66666666666667</v>
          </cell>
          <cell r="AH13">
            <v>241</v>
          </cell>
          <cell r="AI13">
            <v>118.09090909090909</v>
          </cell>
          <cell r="AJ13">
            <v>46</v>
          </cell>
          <cell r="AK13">
            <v>41</v>
          </cell>
          <cell r="AL13">
            <v>36</v>
          </cell>
          <cell r="AM13">
            <v>31</v>
          </cell>
          <cell r="AN13">
            <v>23</v>
          </cell>
          <cell r="AO13">
            <v>18</v>
          </cell>
          <cell r="AP13">
            <v>10</v>
          </cell>
          <cell r="AQ13">
            <v>6</v>
          </cell>
          <cell r="AR13">
            <v>462.33333333333331</v>
          </cell>
          <cell r="AS13">
            <v>298.25</v>
          </cell>
          <cell r="AT13">
            <v>226.25</v>
          </cell>
          <cell r="AU13">
            <v>168.8</v>
          </cell>
          <cell r="AV13">
            <v>5.1739130434782608</v>
          </cell>
          <cell r="AW13">
            <v>6</v>
          </cell>
          <cell r="AX13">
            <v>4</v>
          </cell>
          <cell r="AY13">
            <v>8</v>
          </cell>
          <cell r="AZ13">
            <v>5</v>
          </cell>
          <cell r="BA13">
            <v>23</v>
          </cell>
          <cell r="BB13">
            <v>2774</v>
          </cell>
          <cell r="BC13">
            <v>1193</v>
          </cell>
          <cell r="BD13">
            <v>1810</v>
          </cell>
          <cell r="BE13">
            <v>844</v>
          </cell>
          <cell r="BF13">
            <v>119</v>
          </cell>
          <cell r="BG13">
            <v>6815.506386355687</v>
          </cell>
          <cell r="BH13">
            <v>6740</v>
          </cell>
          <cell r="BI13">
            <v>75.506386355687027</v>
          </cell>
          <cell r="BJ13">
            <v>46</v>
          </cell>
          <cell r="BK13">
            <v>0</v>
          </cell>
          <cell r="BL13">
            <v>7253.462024412639</v>
          </cell>
          <cell r="BM13">
            <v>513.46202441263904</v>
          </cell>
        </row>
        <row r="14">
          <cell r="C14" t="str">
            <v>Edberg</v>
          </cell>
          <cell r="D14" t="str">
            <v>Sweden</v>
          </cell>
          <cell r="E14">
            <v>6568</v>
          </cell>
          <cell r="F14">
            <v>182</v>
          </cell>
          <cell r="G14">
            <v>48</v>
          </cell>
          <cell r="H14">
            <v>0.79130434782608694</v>
          </cell>
          <cell r="I14">
            <v>546</v>
          </cell>
          <cell r="J14">
            <v>921</v>
          </cell>
          <cell r="K14">
            <v>50.573913043478264</v>
          </cell>
          <cell r="L14">
            <v>469.14285714285717</v>
          </cell>
          <cell r="M14">
            <v>121.62962962962963</v>
          </cell>
          <cell r="N14">
            <v>36.087912087912088</v>
          </cell>
          <cell r="O14">
            <v>1966</v>
          </cell>
          <cell r="P14">
            <v>14</v>
          </cell>
          <cell r="Q14">
            <v>1983</v>
          </cell>
          <cell r="R14">
            <v>1996</v>
          </cell>
          <cell r="S14">
            <v>2167</v>
          </cell>
          <cell r="T14">
            <v>951</v>
          </cell>
          <cell r="U14">
            <v>1683</v>
          </cell>
          <cell r="V14">
            <v>1767</v>
          </cell>
          <cell r="W14">
            <v>7</v>
          </cell>
          <cell r="X14">
            <v>14</v>
          </cell>
          <cell r="Y14">
            <v>11</v>
          </cell>
          <cell r="Z14">
            <v>11</v>
          </cell>
          <cell r="AA14" t="str">
            <v>Edberg</v>
          </cell>
          <cell r="AB14">
            <v>13</v>
          </cell>
          <cell r="AC14">
            <v>13</v>
          </cell>
          <cell r="AD14">
            <v>14</v>
          </cell>
          <cell r="AE14">
            <v>14</v>
          </cell>
          <cell r="AF14">
            <v>166.69230769230768</v>
          </cell>
          <cell r="AG14">
            <v>73.15384615384616</v>
          </cell>
          <cell r="AH14">
            <v>120.21428571428571</v>
          </cell>
          <cell r="AI14">
            <v>126.21428571428571</v>
          </cell>
          <cell r="AJ14">
            <v>54</v>
          </cell>
          <cell r="AK14">
            <v>50</v>
          </cell>
          <cell r="AL14">
            <v>37</v>
          </cell>
          <cell r="AM14">
            <v>33</v>
          </cell>
          <cell r="AN14">
            <v>26</v>
          </cell>
          <cell r="AO14">
            <v>19</v>
          </cell>
          <cell r="AP14">
            <v>11</v>
          </cell>
          <cell r="AQ14">
            <v>6</v>
          </cell>
          <cell r="AR14">
            <v>405.16666666666669</v>
          </cell>
          <cell r="AS14">
            <v>285.8</v>
          </cell>
          <cell r="AT14">
            <v>200.75</v>
          </cell>
          <cell r="AU14">
            <v>139.85714285714286</v>
          </cell>
          <cell r="AV14">
            <v>4.3928571428571432</v>
          </cell>
          <cell r="AW14">
            <v>6</v>
          </cell>
          <cell r="AX14">
            <v>5</v>
          </cell>
          <cell r="AY14">
            <v>8</v>
          </cell>
          <cell r="AZ14">
            <v>7</v>
          </cell>
          <cell r="BA14">
            <v>28</v>
          </cell>
          <cell r="BB14">
            <v>2431</v>
          </cell>
          <cell r="BC14">
            <v>1429</v>
          </cell>
          <cell r="BD14">
            <v>1606</v>
          </cell>
          <cell r="BE14">
            <v>979</v>
          </cell>
          <cell r="BF14">
            <v>123.00000000000001</v>
          </cell>
          <cell r="BG14">
            <v>7480.1819729248191</v>
          </cell>
          <cell r="BH14">
            <v>6568</v>
          </cell>
          <cell r="BI14">
            <v>912.18197292481909</v>
          </cell>
          <cell r="BJ14">
            <v>54</v>
          </cell>
          <cell r="BK14">
            <v>0</v>
          </cell>
          <cell r="BL14">
            <v>7170.7597677887497</v>
          </cell>
          <cell r="BM14">
            <v>602.75976778874974</v>
          </cell>
        </row>
        <row r="15">
          <cell r="C15" t="str">
            <v>Wilander</v>
          </cell>
          <cell r="D15" t="str">
            <v>Sweden</v>
          </cell>
          <cell r="E15">
            <v>5919</v>
          </cell>
          <cell r="F15">
            <v>147</v>
          </cell>
          <cell r="G15">
            <v>37</v>
          </cell>
          <cell r="H15">
            <v>0.79891304347826086</v>
          </cell>
          <cell r="I15">
            <v>508</v>
          </cell>
          <cell r="J15">
            <v>1510</v>
          </cell>
          <cell r="K15">
            <v>47.722826086956523</v>
          </cell>
          <cell r="L15">
            <v>369.9375</v>
          </cell>
          <cell r="M15">
            <v>134.52272727272728</v>
          </cell>
          <cell r="N15">
            <v>40.265306122448976</v>
          </cell>
          <cell r="O15">
            <v>1964</v>
          </cell>
          <cell r="P15">
            <v>16</v>
          </cell>
          <cell r="Q15">
            <v>1981</v>
          </cell>
          <cell r="R15">
            <v>1996</v>
          </cell>
          <cell r="S15">
            <v>1509</v>
          </cell>
          <cell r="T15">
            <v>2482</v>
          </cell>
          <cell r="U15">
            <v>436</v>
          </cell>
          <cell r="V15">
            <v>1492</v>
          </cell>
          <cell r="W15">
            <v>9</v>
          </cell>
          <cell r="X15">
            <v>6</v>
          </cell>
          <cell r="Y15">
            <v>13</v>
          </cell>
          <cell r="Z15">
            <v>12</v>
          </cell>
          <cell r="AA15" t="str">
            <v>Wilander</v>
          </cell>
          <cell r="AB15">
            <v>10</v>
          </cell>
          <cell r="AC15">
            <v>12</v>
          </cell>
          <cell r="AD15">
            <v>10</v>
          </cell>
          <cell r="AE15">
            <v>12</v>
          </cell>
          <cell r="AF15">
            <v>150.9</v>
          </cell>
          <cell r="AG15">
            <v>206.83333333333334</v>
          </cell>
          <cell r="AH15">
            <v>43.6</v>
          </cell>
          <cell r="AI15">
            <v>124.33333333333333</v>
          </cell>
          <cell r="AJ15">
            <v>44</v>
          </cell>
          <cell r="AK15">
            <v>38</v>
          </cell>
          <cell r="AL15">
            <v>31</v>
          </cell>
          <cell r="AM15">
            <v>26</v>
          </cell>
          <cell r="AN15">
            <v>20</v>
          </cell>
          <cell r="AO15">
            <v>14</v>
          </cell>
          <cell r="AP15">
            <v>11</v>
          </cell>
          <cell r="AQ15">
            <v>7</v>
          </cell>
          <cell r="AR15">
            <v>461.85714285714283</v>
          </cell>
          <cell r="AS15">
            <v>307</v>
          </cell>
          <cell r="AT15">
            <v>255.33333333333334</v>
          </cell>
          <cell r="AU15">
            <v>142.33333333333334</v>
          </cell>
          <cell r="AV15">
            <v>-6.75</v>
          </cell>
          <cell r="AW15">
            <v>7</v>
          </cell>
          <cell r="AX15">
            <v>4</v>
          </cell>
          <cell r="AY15">
            <v>3</v>
          </cell>
          <cell r="AZ15">
            <v>6</v>
          </cell>
          <cell r="BA15">
            <v>24</v>
          </cell>
          <cell r="BB15">
            <v>3233</v>
          </cell>
          <cell r="BC15">
            <v>1228</v>
          </cell>
          <cell r="BD15">
            <v>766</v>
          </cell>
          <cell r="BE15">
            <v>854</v>
          </cell>
          <cell r="BF15">
            <v>-162</v>
          </cell>
          <cell r="BG15">
            <v>6276.4621904361993</v>
          </cell>
          <cell r="BH15">
            <v>5919</v>
          </cell>
          <cell r="BI15">
            <v>357.46219043619931</v>
          </cell>
          <cell r="BJ15">
            <v>44</v>
          </cell>
          <cell r="BK15">
            <v>0</v>
          </cell>
          <cell r="BL15">
            <v>6410.1375885686111</v>
          </cell>
          <cell r="BM15">
            <v>491.13758856861114</v>
          </cell>
        </row>
        <row r="16">
          <cell r="C16" t="str">
            <v>Wawrinka</v>
          </cell>
          <cell r="D16" t="str">
            <v>Switzerland</v>
          </cell>
          <cell r="E16">
            <v>4770</v>
          </cell>
          <cell r="F16">
            <v>134</v>
          </cell>
          <cell r="G16">
            <v>50</v>
          </cell>
          <cell r="H16">
            <v>0.72826086956521741</v>
          </cell>
          <cell r="I16">
            <v>555</v>
          </cell>
          <cell r="J16">
            <v>523</v>
          </cell>
          <cell r="K16">
            <v>46.902173913043477</v>
          </cell>
          <cell r="L16">
            <v>340.71428571428572</v>
          </cell>
          <cell r="M16">
            <v>90</v>
          </cell>
          <cell r="N16">
            <v>35.597014925373138</v>
          </cell>
          <cell r="O16">
            <v>1985</v>
          </cell>
          <cell r="P16">
            <v>14</v>
          </cell>
          <cell r="Q16">
            <v>2005</v>
          </cell>
          <cell r="R16">
            <v>2018</v>
          </cell>
          <cell r="S16">
            <v>1358</v>
          </cell>
          <cell r="T16">
            <v>1793</v>
          </cell>
          <cell r="U16">
            <v>137</v>
          </cell>
          <cell r="V16">
            <v>1482</v>
          </cell>
          <cell r="W16">
            <v>11</v>
          </cell>
          <cell r="X16">
            <v>9</v>
          </cell>
          <cell r="Y16">
            <v>14</v>
          </cell>
          <cell r="Z16">
            <v>13</v>
          </cell>
          <cell r="AA16" t="str">
            <v>Wawrinka</v>
          </cell>
          <cell r="AB16">
            <v>13</v>
          </cell>
          <cell r="AC16">
            <v>14</v>
          </cell>
          <cell r="AD16">
            <v>14</v>
          </cell>
          <cell r="AE16">
            <v>12</v>
          </cell>
          <cell r="AF16">
            <v>104.46153846153847</v>
          </cell>
          <cell r="AG16">
            <v>128.07142857142858</v>
          </cell>
          <cell r="AH16">
            <v>9.7857142857142865</v>
          </cell>
          <cell r="AI16">
            <v>123.5</v>
          </cell>
          <cell r="AJ16">
            <v>53</v>
          </cell>
          <cell r="AK16">
            <v>43</v>
          </cell>
          <cell r="AL16">
            <v>35</v>
          </cell>
          <cell r="AM16">
            <v>25</v>
          </cell>
          <cell r="AN16">
            <v>15</v>
          </cell>
          <cell r="AO16">
            <v>9</v>
          </cell>
          <cell r="AP16">
            <v>4</v>
          </cell>
          <cell r="AQ16">
            <v>3</v>
          </cell>
          <cell r="AR16">
            <v>470.66666666666669</v>
          </cell>
          <cell r="AS16">
            <v>387</v>
          </cell>
          <cell r="AT16">
            <v>257</v>
          </cell>
          <cell r="AU16">
            <v>217.16666666666666</v>
          </cell>
          <cell r="AV16">
            <v>10.078947368421053</v>
          </cell>
          <cell r="AW16">
            <v>3</v>
          </cell>
          <cell r="AX16">
            <v>1</v>
          </cell>
          <cell r="AY16">
            <v>5</v>
          </cell>
          <cell r="AZ16">
            <v>6</v>
          </cell>
          <cell r="BA16">
            <v>38</v>
          </cell>
          <cell r="BB16">
            <v>1412</v>
          </cell>
          <cell r="BC16">
            <v>387</v>
          </cell>
          <cell r="BD16">
            <v>1285</v>
          </cell>
          <cell r="BE16">
            <v>1303</v>
          </cell>
          <cell r="BF16">
            <v>383</v>
          </cell>
          <cell r="BG16">
            <v>3912.5027354654358</v>
          </cell>
          <cell r="BH16">
            <v>4770</v>
          </cell>
          <cell r="BI16">
            <v>-857.49726453456424</v>
          </cell>
          <cell r="BJ16">
            <v>0</v>
          </cell>
          <cell r="BK16">
            <v>53</v>
          </cell>
          <cell r="BL16">
            <v>4358.0777860342696</v>
          </cell>
          <cell r="BM16">
            <v>-411.92221396573041</v>
          </cell>
        </row>
        <row r="17">
          <cell r="C17" t="str">
            <v>Vilas</v>
          </cell>
          <cell r="D17" t="str">
            <v>Argentina</v>
          </cell>
          <cell r="E17">
            <v>4421</v>
          </cell>
          <cell r="F17">
            <v>142</v>
          </cell>
          <cell r="G17">
            <v>45</v>
          </cell>
          <cell r="H17">
            <v>0.75935828877005351</v>
          </cell>
          <cell r="I17">
            <v>545</v>
          </cell>
          <cell r="J17">
            <v>1150</v>
          </cell>
          <cell r="K17">
            <v>52.294117647058826</v>
          </cell>
          <cell r="L17">
            <v>221.05</v>
          </cell>
          <cell r="M17">
            <v>90.224489795918373</v>
          </cell>
          <cell r="N17">
            <v>31.133802816901408</v>
          </cell>
          <cell r="O17">
            <v>1952</v>
          </cell>
          <cell r="P17">
            <v>20</v>
          </cell>
          <cell r="Q17">
            <v>1970</v>
          </cell>
          <cell r="R17">
            <v>1989</v>
          </cell>
          <cell r="S17">
            <v>1182</v>
          </cell>
          <cell r="T17">
            <v>2170</v>
          </cell>
          <cell r="U17">
            <v>28</v>
          </cell>
          <cell r="V17">
            <v>1041</v>
          </cell>
          <cell r="W17">
            <v>12</v>
          </cell>
          <cell r="X17">
            <v>7</v>
          </cell>
          <cell r="Y17">
            <v>15</v>
          </cell>
          <cell r="Z17">
            <v>15</v>
          </cell>
          <cell r="AA17" t="str">
            <v>Vilas</v>
          </cell>
          <cell r="AB17">
            <v>5</v>
          </cell>
          <cell r="AC17">
            <v>18</v>
          </cell>
          <cell r="AD17">
            <v>11</v>
          </cell>
          <cell r="AE17">
            <v>15</v>
          </cell>
          <cell r="AF17">
            <v>236.4</v>
          </cell>
          <cell r="AG17">
            <v>120.55555555555556</v>
          </cell>
          <cell r="AH17">
            <v>2.5454545454545454</v>
          </cell>
          <cell r="AI17">
            <v>69.400000000000006</v>
          </cell>
          <cell r="AJ17">
            <v>49</v>
          </cell>
          <cell r="AK17">
            <v>40</v>
          </cell>
          <cell r="AL17">
            <v>34</v>
          </cell>
          <cell r="AM17">
            <v>25</v>
          </cell>
          <cell r="AN17">
            <v>19</v>
          </cell>
          <cell r="AO17">
            <v>12</v>
          </cell>
          <cell r="AP17">
            <v>8</v>
          </cell>
          <cell r="AQ17">
            <v>4</v>
          </cell>
          <cell r="AR17">
            <v>445</v>
          </cell>
          <cell r="AS17">
            <v>271</v>
          </cell>
          <cell r="AT17">
            <v>195.75</v>
          </cell>
          <cell r="AU17">
            <v>143.57142857142858</v>
          </cell>
          <cell r="AV17">
            <v>-7.7</v>
          </cell>
          <cell r="AW17">
            <v>4</v>
          </cell>
          <cell r="AX17">
            <v>4</v>
          </cell>
          <cell r="AY17">
            <v>4</v>
          </cell>
          <cell r="AZ17">
            <v>7</v>
          </cell>
          <cell r="BA17">
            <v>30</v>
          </cell>
          <cell r="BB17">
            <v>1780</v>
          </cell>
          <cell r="BC17">
            <v>1084</v>
          </cell>
          <cell r="BD17">
            <v>783</v>
          </cell>
          <cell r="BE17">
            <v>1005.0000000000001</v>
          </cell>
          <cell r="BF17">
            <v>-231</v>
          </cell>
          <cell r="BG17">
            <v>5302.8023169496928</v>
          </cell>
          <cell r="BH17">
            <v>4421</v>
          </cell>
          <cell r="BI17">
            <v>881.80231694969279</v>
          </cell>
          <cell r="BJ17">
            <v>49</v>
          </cell>
          <cell r="BK17">
            <v>0</v>
          </cell>
          <cell r="BL17">
            <v>4967.94867817868</v>
          </cell>
          <cell r="BM17">
            <v>546.94867817867998</v>
          </cell>
        </row>
        <row r="18">
          <cell r="C18" t="str">
            <v>Courier</v>
          </cell>
          <cell r="D18" t="str">
            <v>USA</v>
          </cell>
          <cell r="E18">
            <v>4149</v>
          </cell>
          <cell r="F18">
            <v>119</v>
          </cell>
          <cell r="G18">
            <v>38</v>
          </cell>
          <cell r="H18">
            <v>0.7579617834394905</v>
          </cell>
          <cell r="I18">
            <v>486</v>
          </cell>
          <cell r="J18">
            <v>1169</v>
          </cell>
          <cell r="K18">
            <v>49.369426751592357</v>
          </cell>
          <cell r="L18">
            <v>319.15384615384613</v>
          </cell>
          <cell r="M18">
            <v>98.785714285714292</v>
          </cell>
          <cell r="N18">
            <v>34.865546218487395</v>
          </cell>
          <cell r="O18">
            <v>1970</v>
          </cell>
          <cell r="P18">
            <v>13</v>
          </cell>
          <cell r="Q18">
            <v>1988</v>
          </cell>
          <cell r="R18">
            <v>2000</v>
          </cell>
          <cell r="S18">
            <v>1467</v>
          </cell>
          <cell r="T18">
            <v>1692</v>
          </cell>
          <cell r="U18">
            <v>20</v>
          </cell>
          <cell r="V18">
            <v>970</v>
          </cell>
          <cell r="W18">
            <v>10</v>
          </cell>
          <cell r="X18">
            <v>10</v>
          </cell>
          <cell r="Y18">
            <v>16</v>
          </cell>
          <cell r="Z18">
            <v>16</v>
          </cell>
          <cell r="AA18" t="str">
            <v>Courier</v>
          </cell>
          <cell r="AB18">
            <v>10</v>
          </cell>
          <cell r="AC18">
            <v>11</v>
          </cell>
          <cell r="AD18">
            <v>11</v>
          </cell>
          <cell r="AE18">
            <v>10</v>
          </cell>
          <cell r="AF18">
            <v>146.69999999999999</v>
          </cell>
          <cell r="AG18">
            <v>153.81818181818181</v>
          </cell>
          <cell r="AH18">
            <v>1.8181818181818181</v>
          </cell>
          <cell r="AI18">
            <v>97</v>
          </cell>
          <cell r="AJ18">
            <v>42</v>
          </cell>
          <cell r="AK18">
            <v>34</v>
          </cell>
          <cell r="AL18">
            <v>26</v>
          </cell>
          <cell r="AM18">
            <v>22</v>
          </cell>
          <cell r="AN18">
            <v>15</v>
          </cell>
          <cell r="AO18">
            <v>11</v>
          </cell>
          <cell r="AP18">
            <v>7</v>
          </cell>
          <cell r="AQ18">
            <v>4</v>
          </cell>
          <cell r="AR18">
            <v>440.75</v>
          </cell>
          <cell r="AS18">
            <v>345.33333333333331</v>
          </cell>
          <cell r="AT18">
            <v>283</v>
          </cell>
          <cell r="AU18">
            <v>124.75</v>
          </cell>
          <cell r="AV18">
            <v>-10.407407407407407</v>
          </cell>
          <cell r="AW18">
            <v>4</v>
          </cell>
          <cell r="AX18">
            <v>3</v>
          </cell>
          <cell r="AY18">
            <v>4</v>
          </cell>
          <cell r="AZ18">
            <v>4</v>
          </cell>
          <cell r="BA18">
            <v>27</v>
          </cell>
          <cell r="BB18">
            <v>1763</v>
          </cell>
          <cell r="BC18">
            <v>1036</v>
          </cell>
          <cell r="BD18">
            <v>1132</v>
          </cell>
          <cell r="BE18">
            <v>499</v>
          </cell>
          <cell r="BF18">
            <v>-281</v>
          </cell>
          <cell r="BG18">
            <v>4497.1936725921887</v>
          </cell>
          <cell r="BH18">
            <v>4149</v>
          </cell>
          <cell r="BI18">
            <v>348.1936725921887</v>
          </cell>
          <cell r="BJ18">
            <v>42</v>
          </cell>
          <cell r="BK18">
            <v>0</v>
          </cell>
          <cell r="BL18">
            <v>4617.8131527245832</v>
          </cell>
          <cell r="BM18">
            <v>468.81315272458323</v>
          </cell>
        </row>
        <row r="19">
          <cell r="C19" t="str">
            <v>Kuerten</v>
          </cell>
          <cell r="D19" t="str">
            <v>Brazil</v>
          </cell>
          <cell r="E19">
            <v>1157</v>
          </cell>
          <cell r="F19">
            <v>65</v>
          </cell>
          <cell r="G19">
            <v>30</v>
          </cell>
          <cell r="H19">
            <v>0.68421052631578949</v>
          </cell>
          <cell r="I19">
            <v>531</v>
          </cell>
          <cell r="J19">
            <v>555</v>
          </cell>
          <cell r="K19">
            <v>56.242105263157896</v>
          </cell>
          <cell r="L19">
            <v>89</v>
          </cell>
          <cell r="M19">
            <v>35.060606060606062</v>
          </cell>
          <cell r="N19">
            <v>17.8</v>
          </cell>
          <cell r="O19">
            <v>1976</v>
          </cell>
          <cell r="P19">
            <v>13</v>
          </cell>
          <cell r="Q19">
            <v>1996</v>
          </cell>
          <cell r="R19">
            <v>2008</v>
          </cell>
          <cell r="S19">
            <v>-318</v>
          </cell>
          <cell r="T19">
            <v>1603</v>
          </cell>
          <cell r="U19">
            <v>-222</v>
          </cell>
          <cell r="V19">
            <v>94</v>
          </cell>
          <cell r="W19">
            <v>17</v>
          </cell>
          <cell r="X19">
            <v>11</v>
          </cell>
          <cell r="Y19">
            <v>17</v>
          </cell>
          <cell r="Z19">
            <v>17</v>
          </cell>
          <cell r="AA19" t="str">
            <v>Kuerten</v>
          </cell>
          <cell r="AB19">
            <v>8</v>
          </cell>
          <cell r="AC19">
            <v>11</v>
          </cell>
          <cell r="AD19">
            <v>5</v>
          </cell>
          <cell r="AE19">
            <v>9</v>
          </cell>
          <cell r="AF19">
            <v>-39.75</v>
          </cell>
          <cell r="AG19">
            <v>145.72727272727272</v>
          </cell>
          <cell r="AH19">
            <v>-44.4</v>
          </cell>
          <cell r="AI19">
            <v>10.444444444444445</v>
          </cell>
          <cell r="AJ19">
            <v>33</v>
          </cell>
          <cell r="AK19">
            <v>23</v>
          </cell>
          <cell r="AL19">
            <v>14</v>
          </cell>
          <cell r="AM19">
            <v>11</v>
          </cell>
          <cell r="AN19">
            <v>8</v>
          </cell>
          <cell r="AO19">
            <v>3</v>
          </cell>
          <cell r="AP19">
            <v>3</v>
          </cell>
          <cell r="AQ19">
            <v>3</v>
          </cell>
          <cell r="AR19">
            <v>490.33333333333331</v>
          </cell>
          <cell r="AS19">
            <v>0</v>
          </cell>
          <cell r="AT19">
            <v>0</v>
          </cell>
          <cell r="AU19">
            <v>107.8</v>
          </cell>
          <cell r="AV19">
            <v>-34.119999999999997</v>
          </cell>
          <cell r="AW19">
            <v>3</v>
          </cell>
          <cell r="AX19">
            <v>0</v>
          </cell>
          <cell r="AY19">
            <v>0</v>
          </cell>
          <cell r="AZ19">
            <v>5</v>
          </cell>
          <cell r="BA19">
            <v>25</v>
          </cell>
          <cell r="BB19">
            <v>1471</v>
          </cell>
          <cell r="BC19">
            <v>0</v>
          </cell>
          <cell r="BD19">
            <v>0</v>
          </cell>
          <cell r="BE19">
            <v>539</v>
          </cell>
          <cell r="BF19">
            <v>-852.99999999999989</v>
          </cell>
          <cell r="BG19">
            <v>2215.4841959938658</v>
          </cell>
          <cell r="BH19">
            <v>1157</v>
          </cell>
          <cell r="BI19">
            <v>1058.4841959938658</v>
          </cell>
          <cell r="BJ19">
            <v>19</v>
          </cell>
          <cell r="BK19">
            <v>14</v>
          </cell>
          <cell r="BL19">
            <v>1260.2724990933541</v>
          </cell>
          <cell r="BM19">
            <v>103.2724990933541</v>
          </cell>
        </row>
      </sheetData>
      <sheetData sheetId="3"/>
      <sheetData sheetId="4"/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 refreshError="1"/>
      <sheetData sheetId="14"/>
      <sheetData sheetId="15" refreshError="1"/>
      <sheetData sheetId="16"/>
      <sheetData sheetId="17" refreshError="1"/>
      <sheetData sheetId="18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M36"/>
  <sheetViews>
    <sheetView workbookViewId="0">
      <pane xSplit="2" ySplit="1" topLeftCell="BN2" activePane="bottomRight" state="frozen"/>
      <selection pane="topRight" activeCell="C1" sqref="C1"/>
      <selection pane="bottomLeft" activeCell="A2" sqref="A2"/>
      <selection pane="bottomRight" activeCell="DE14" sqref="DE14"/>
    </sheetView>
  </sheetViews>
  <sheetFormatPr defaultColWidth="10.796875" defaultRowHeight="15.6" x14ac:dyDescent="0.3"/>
  <cols>
    <col min="1" max="1" width="3.69921875" style="1" customWidth="1"/>
    <col min="2" max="2" width="10.796875" style="1"/>
    <col min="3" max="3" width="0" style="2" hidden="1" customWidth="1"/>
    <col min="4" max="4" width="6.796875" style="1" customWidth="1"/>
    <col min="5" max="5" width="3.796875" style="1" customWidth="1"/>
    <col min="6" max="6" width="10.796875" style="1"/>
    <col min="7" max="29" width="4.19921875" style="1" customWidth="1"/>
    <col min="30" max="30" width="0" style="1" hidden="1" customWidth="1"/>
    <col min="31" max="53" width="2.796875" style="1" hidden="1" customWidth="1"/>
    <col min="54" max="54" width="0" style="1" hidden="1" customWidth="1"/>
    <col min="55" max="92" width="4.19921875" style="1" customWidth="1"/>
    <col min="93" max="93" width="10.796875" style="1"/>
    <col min="94" max="103" width="4.19921875" style="1" customWidth="1"/>
    <col min="104" max="104" width="4.69921875" style="1" customWidth="1"/>
    <col min="105" max="108" width="4.19921875" style="1" customWidth="1"/>
    <col min="109" max="111" width="4.296875" style="1" customWidth="1"/>
    <col min="112" max="126" width="4.5" style="1" customWidth="1"/>
    <col min="127" max="127" width="10.796875" style="1"/>
    <col min="128" max="142" width="4.19921875" style="1" customWidth="1"/>
    <col min="143" max="16384" width="10.796875" style="1"/>
  </cols>
  <sheetData>
    <row r="1" spans="1:111" x14ac:dyDescent="0.3">
      <c r="A1" s="13" t="s">
        <v>0</v>
      </c>
      <c r="B1" s="13"/>
      <c r="G1" s="1">
        <v>2</v>
      </c>
      <c r="H1" s="1">
        <v>3</v>
      </c>
      <c r="I1" s="1">
        <v>4</v>
      </c>
      <c r="J1" s="1">
        <v>5</v>
      </c>
      <c r="K1" s="1">
        <v>6</v>
      </c>
      <c r="L1" s="1">
        <v>7</v>
      </c>
      <c r="M1" s="1">
        <v>8</v>
      </c>
      <c r="N1" s="1">
        <v>9</v>
      </c>
      <c r="O1" s="1">
        <v>10</v>
      </c>
      <c r="P1" s="1">
        <v>11</v>
      </c>
      <c r="Q1" s="1">
        <v>12</v>
      </c>
      <c r="R1" s="1">
        <v>13</v>
      </c>
      <c r="S1" s="1">
        <v>14</v>
      </c>
      <c r="T1" s="1">
        <v>15</v>
      </c>
      <c r="U1" s="1">
        <v>16</v>
      </c>
      <c r="V1" s="1">
        <v>17</v>
      </c>
      <c r="W1" s="1">
        <v>18</v>
      </c>
      <c r="X1" s="1">
        <v>19</v>
      </c>
      <c r="Y1" s="1">
        <v>20</v>
      </c>
      <c r="Z1" s="1">
        <v>21</v>
      </c>
      <c r="AA1" s="1">
        <v>22</v>
      </c>
      <c r="AB1" s="1">
        <v>23</v>
      </c>
      <c r="AC1" s="1">
        <v>24</v>
      </c>
      <c r="AE1" s="1">
        <v>2</v>
      </c>
      <c r="AF1" s="1">
        <v>3</v>
      </c>
      <c r="AG1" s="1">
        <v>4</v>
      </c>
      <c r="AH1" s="1">
        <v>5</v>
      </c>
      <c r="AI1" s="1">
        <v>6</v>
      </c>
      <c r="AJ1" s="1">
        <v>7</v>
      </c>
      <c r="AK1" s="1">
        <v>8</v>
      </c>
      <c r="AL1" s="1">
        <v>9</v>
      </c>
      <c r="AM1" s="1">
        <v>10</v>
      </c>
      <c r="AN1" s="1">
        <v>11</v>
      </c>
      <c r="AO1" s="1">
        <v>12</v>
      </c>
      <c r="AP1" s="1">
        <v>13</v>
      </c>
      <c r="AQ1" s="1">
        <v>14</v>
      </c>
      <c r="AR1" s="1">
        <v>15</v>
      </c>
      <c r="AS1" s="1">
        <v>16</v>
      </c>
      <c r="AT1" s="1">
        <v>17</v>
      </c>
      <c r="AU1" s="1">
        <v>18</v>
      </c>
      <c r="AV1" s="1">
        <v>19</v>
      </c>
      <c r="AW1" s="1">
        <v>20</v>
      </c>
      <c r="AX1" s="1">
        <v>21</v>
      </c>
      <c r="AY1" s="1">
        <v>22</v>
      </c>
      <c r="AZ1" s="1">
        <v>23</v>
      </c>
      <c r="BA1" s="1">
        <v>24</v>
      </c>
      <c r="BZ1" s="1">
        <v>1</v>
      </c>
      <c r="CA1" s="1">
        <v>2</v>
      </c>
      <c r="CB1" s="1">
        <v>3</v>
      </c>
      <c r="CC1" s="1">
        <v>4</v>
      </c>
      <c r="CD1" s="1">
        <v>5</v>
      </c>
      <c r="CE1" s="1">
        <v>6</v>
      </c>
      <c r="CF1" s="1">
        <v>7</v>
      </c>
      <c r="CG1" s="1">
        <v>8</v>
      </c>
      <c r="CH1" s="1">
        <v>9</v>
      </c>
      <c r="CI1" s="1">
        <v>10</v>
      </c>
      <c r="CJ1" s="1">
        <v>11</v>
      </c>
      <c r="CK1" s="1">
        <v>12</v>
      </c>
      <c r="CL1" s="1">
        <v>13</v>
      </c>
      <c r="CM1" s="1">
        <v>14</v>
      </c>
      <c r="CN1" s="1">
        <v>15</v>
      </c>
      <c r="CP1" s="1">
        <v>1</v>
      </c>
      <c r="CQ1" s="1">
        <v>2</v>
      </c>
      <c r="CR1" s="1">
        <v>3</v>
      </c>
      <c r="CS1" s="1">
        <v>4</v>
      </c>
      <c r="CT1" s="1">
        <v>5</v>
      </c>
      <c r="CU1" s="1">
        <v>6</v>
      </c>
      <c r="CV1" s="1">
        <v>7</v>
      </c>
      <c r="CW1" s="1">
        <v>8</v>
      </c>
      <c r="CX1" s="1">
        <v>9</v>
      </c>
      <c r="CY1" s="1">
        <v>10</v>
      </c>
      <c r="CZ1" s="1">
        <v>11</v>
      </c>
      <c r="DA1" s="1">
        <v>12</v>
      </c>
      <c r="DB1" s="1">
        <v>13</v>
      </c>
      <c r="DC1" s="1">
        <v>14</v>
      </c>
      <c r="DD1" s="1">
        <v>15</v>
      </c>
    </row>
    <row r="2" spans="1:111" x14ac:dyDescent="0.3">
      <c r="A2" s="1">
        <v>1</v>
      </c>
      <c r="B2" s="1" t="str">
        <f>VLOOKUP(A2,[1]Ranking!$W$3:$AA$19, 5, FALSE)</f>
        <v>Federer</v>
      </c>
      <c r="G2" s="1">
        <f>VLOOKUP($B2,[1]Data!$C$3:$Z$86,G$1, FALSE)</f>
        <v>0</v>
      </c>
      <c r="H2" s="1">
        <f>VLOOKUP($B2,[1]Data!$C$3:$Z$86,H$1, FALSE)</f>
        <v>9</v>
      </c>
      <c r="I2" s="1">
        <f>VLOOKUP($B2,[1]Data!$C$3:$Z$86,I$1, FALSE)</f>
        <v>78</v>
      </c>
      <c r="J2" s="1">
        <f>VLOOKUP($B2,[1]Data!$C$3:$Z$86,J$1, FALSE)</f>
        <v>65</v>
      </c>
      <c r="K2" s="1">
        <f>VLOOKUP($B2,[1]Data!$C$3:$Z$86,K$1, FALSE)</f>
        <v>32</v>
      </c>
      <c r="L2" s="1">
        <f>VLOOKUP($B2,[1]Data!$C$3:$Z$86,L$1, FALSE)</f>
        <v>341</v>
      </c>
      <c r="M2" s="1">
        <f>VLOOKUP($B2,[1]Data!$C$3:$Z$86,M$1, FALSE)</f>
        <v>174</v>
      </c>
      <c r="N2" s="1">
        <f>VLOOKUP($B2,[1]Data!$C$3:$Z$86,N$1, FALSE)</f>
        <v>431</v>
      </c>
      <c r="O2" s="1">
        <f>VLOOKUP($B2,[1]Data!$C$3:$Z$86,O$1, FALSE)</f>
        <v>556</v>
      </c>
      <c r="P2" s="1">
        <f>VLOOKUP($B2,[1]Data!$C$3:$Z$86,P$1, FALSE)</f>
        <v>308</v>
      </c>
      <c r="Q2" s="1">
        <f>VLOOKUP($B2,[1]Data!$C$3:$Z$86,Q$1, FALSE)</f>
        <v>434</v>
      </c>
      <c r="R2" s="1">
        <f>VLOOKUP($B2,[1]Data!$C$3:$Z$86,R$1, FALSE)</f>
        <v>592</v>
      </c>
      <c r="S2" s="1">
        <f>VLOOKUP($B2,[1]Data!$C$3:$Z$86,S$1, FALSE)</f>
        <v>306</v>
      </c>
      <c r="T2" s="1">
        <f>VLOOKUP($B2,[1]Data!$C$3:$Z$86,T$1, FALSE)</f>
        <v>213</v>
      </c>
      <c r="U2" s="1">
        <f>VLOOKUP($B2,[1]Data!$C$3:$Z$86,U$1, FALSE)</f>
        <v>368</v>
      </c>
      <c r="V2" s="1">
        <f>VLOOKUP($B2,[1]Data!$C$3:$Z$86,V$1, FALSE)</f>
        <v>228</v>
      </c>
      <c r="W2" s="1">
        <f>VLOOKUP($B2,[1]Data!$C$3:$Z$86,W$1, FALSE)</f>
        <v>59</v>
      </c>
      <c r="X2" s="1">
        <f>VLOOKUP($B2,[1]Data!$C$3:$Z$86,X$1, FALSE)</f>
        <v>337</v>
      </c>
      <c r="Y2" s="1">
        <f>VLOOKUP($B2,[1]Data!$C$3:$Z$86,Y$1, FALSE)</f>
        <v>474</v>
      </c>
      <c r="Z2" s="1">
        <f>VLOOKUP($B2,[1]Data!$C$3:$Z$86,Z$1, FALSE)</f>
        <v>452</v>
      </c>
      <c r="AA2" s="1">
        <f>VLOOKUP($B2,[1]Data!$C$3:$Z$86,AA$1, FALSE)</f>
        <v>0</v>
      </c>
      <c r="AB2" s="1">
        <f>VLOOKUP($B2,[1]Data!$C$3:$Z$86,AB$1, FALSE)</f>
        <v>0</v>
      </c>
      <c r="AC2" s="1">
        <f>VLOOKUP($B2,[1]Data!$C$3:$Z$86,AC$1, FALSE)</f>
        <v>0</v>
      </c>
      <c r="AE2" s="1">
        <f t="shared" ref="AE2:AN5" si="0">RANK(G2,$G2:$AC2)</f>
        <v>20</v>
      </c>
      <c r="AF2" s="1">
        <f t="shared" si="0"/>
        <v>19</v>
      </c>
      <c r="AG2" s="1">
        <f t="shared" si="0"/>
        <v>15</v>
      </c>
      <c r="AH2" s="1">
        <f t="shared" si="0"/>
        <v>16</v>
      </c>
      <c r="AI2" s="1">
        <f t="shared" si="0"/>
        <v>18</v>
      </c>
      <c r="AJ2" s="1">
        <f t="shared" si="0"/>
        <v>8</v>
      </c>
      <c r="AK2" s="1">
        <f t="shared" si="0"/>
        <v>14</v>
      </c>
      <c r="AL2" s="1">
        <f t="shared" si="0"/>
        <v>6</v>
      </c>
      <c r="AM2" s="1">
        <f t="shared" si="0"/>
        <v>2</v>
      </c>
      <c r="AN2" s="1">
        <f t="shared" si="0"/>
        <v>10</v>
      </c>
      <c r="AO2" s="1">
        <f t="shared" ref="AO2:AX5" si="1">RANK(Q2,$G2:$AC2)</f>
        <v>5</v>
      </c>
      <c r="AP2" s="1">
        <f t="shared" si="1"/>
        <v>1</v>
      </c>
      <c r="AQ2" s="1">
        <f t="shared" si="1"/>
        <v>11</v>
      </c>
      <c r="AR2" s="1">
        <f t="shared" si="1"/>
        <v>13</v>
      </c>
      <c r="AS2" s="1">
        <f t="shared" si="1"/>
        <v>7</v>
      </c>
      <c r="AT2" s="1">
        <f t="shared" si="1"/>
        <v>12</v>
      </c>
      <c r="AU2" s="1">
        <f t="shared" si="1"/>
        <v>17</v>
      </c>
      <c r="AV2" s="1">
        <f t="shared" si="1"/>
        <v>9</v>
      </c>
      <c r="AW2" s="1">
        <f t="shared" si="1"/>
        <v>3</v>
      </c>
      <c r="AX2" s="1">
        <f t="shared" si="1"/>
        <v>4</v>
      </c>
      <c r="AY2" s="1">
        <f t="shared" ref="AY2:BA5" si="2">RANK(AA2,$G2:$AC2)</f>
        <v>20</v>
      </c>
      <c r="AZ2" s="1">
        <f t="shared" si="2"/>
        <v>20</v>
      </c>
      <c r="BA2" s="1">
        <f t="shared" si="2"/>
        <v>20</v>
      </c>
      <c r="BC2" s="1" t="str">
        <f t="shared" ref="BC2:BY2" si="3">IF(AE2&gt;15, "", IF(G2=0, "", G2))</f>
        <v/>
      </c>
      <c r="BD2" s="1" t="str">
        <f t="shared" si="3"/>
        <v/>
      </c>
      <c r="BE2" s="1">
        <f t="shared" si="3"/>
        <v>78</v>
      </c>
      <c r="BF2" s="1" t="str">
        <f t="shared" si="3"/>
        <v/>
      </c>
      <c r="BG2" s="1" t="str">
        <f t="shared" si="3"/>
        <v/>
      </c>
      <c r="BH2" s="1">
        <f t="shared" si="3"/>
        <v>341</v>
      </c>
      <c r="BI2" s="1">
        <f t="shared" si="3"/>
        <v>174</v>
      </c>
      <c r="BJ2" s="1">
        <f t="shared" si="3"/>
        <v>431</v>
      </c>
      <c r="BK2" s="1">
        <f t="shared" si="3"/>
        <v>556</v>
      </c>
      <c r="BL2" s="1">
        <f t="shared" si="3"/>
        <v>308</v>
      </c>
      <c r="BM2" s="1">
        <f t="shared" si="3"/>
        <v>434</v>
      </c>
      <c r="BN2" s="1">
        <f t="shared" si="3"/>
        <v>592</v>
      </c>
      <c r="BO2" s="1">
        <f t="shared" si="3"/>
        <v>306</v>
      </c>
      <c r="BP2" s="1">
        <f t="shared" si="3"/>
        <v>213</v>
      </c>
      <c r="BQ2" s="1">
        <f t="shared" si="3"/>
        <v>368</v>
      </c>
      <c r="BR2" s="1">
        <f t="shared" si="3"/>
        <v>228</v>
      </c>
      <c r="BS2" s="1" t="str">
        <f t="shared" si="3"/>
        <v/>
      </c>
      <c r="BT2" s="1">
        <f t="shared" si="3"/>
        <v>337</v>
      </c>
      <c r="BU2" s="1">
        <f t="shared" si="3"/>
        <v>474</v>
      </c>
      <c r="BV2" s="1">
        <f t="shared" si="3"/>
        <v>452</v>
      </c>
      <c r="BW2" s="1" t="str">
        <f t="shared" si="3"/>
        <v/>
      </c>
      <c r="BX2" s="1" t="str">
        <f t="shared" si="3"/>
        <v/>
      </c>
      <c r="BY2" s="1" t="str">
        <f t="shared" si="3"/>
        <v/>
      </c>
      <c r="BZ2" s="1">
        <f>BE2</f>
        <v>78</v>
      </c>
      <c r="CA2" s="1">
        <f t="shared" ref="CA2:CK2" si="4">BH2</f>
        <v>341</v>
      </c>
      <c r="CB2" s="1">
        <f t="shared" si="4"/>
        <v>174</v>
      </c>
      <c r="CC2" s="1">
        <f t="shared" si="4"/>
        <v>431</v>
      </c>
      <c r="CD2" s="1">
        <f t="shared" si="4"/>
        <v>556</v>
      </c>
      <c r="CE2" s="1">
        <f t="shared" si="4"/>
        <v>308</v>
      </c>
      <c r="CF2" s="1">
        <f t="shared" si="4"/>
        <v>434</v>
      </c>
      <c r="CG2" s="1">
        <f t="shared" si="4"/>
        <v>592</v>
      </c>
      <c r="CH2" s="1">
        <f t="shared" si="4"/>
        <v>306</v>
      </c>
      <c r="CI2" s="1">
        <f t="shared" si="4"/>
        <v>213</v>
      </c>
      <c r="CJ2" s="1">
        <f t="shared" si="4"/>
        <v>368</v>
      </c>
      <c r="CK2" s="1">
        <f t="shared" si="4"/>
        <v>228</v>
      </c>
      <c r="CL2" s="1">
        <f>BT2</f>
        <v>337</v>
      </c>
      <c r="CM2" s="1">
        <f>BU2</f>
        <v>474</v>
      </c>
      <c r="CN2" s="1">
        <f>BV2</f>
        <v>452</v>
      </c>
      <c r="CO2" s="1" t="str">
        <f>B2</f>
        <v>Federer</v>
      </c>
      <c r="CP2" s="4">
        <f>BZ2+$DG2</f>
        <v>72.302878390064976</v>
      </c>
      <c r="CQ2" s="4">
        <f t="shared" ref="CQ2:DD4" si="5">CA2+$DG2</f>
        <v>335.30287839006496</v>
      </c>
      <c r="CR2" s="4">
        <f t="shared" si="5"/>
        <v>168.30287839006499</v>
      </c>
      <c r="CS2" s="4">
        <f t="shared" si="5"/>
        <v>425.30287839006496</v>
      </c>
      <c r="CT2" s="4">
        <f t="shared" si="5"/>
        <v>550.30287839006496</v>
      </c>
      <c r="CU2" s="4">
        <f t="shared" si="5"/>
        <v>302.30287839006496</v>
      </c>
      <c r="CV2" s="4">
        <f t="shared" si="5"/>
        <v>428.30287839006496</v>
      </c>
      <c r="CW2" s="4">
        <f t="shared" si="5"/>
        <v>586.30287839006496</v>
      </c>
      <c r="CX2" s="4">
        <f t="shared" si="5"/>
        <v>300.30287839006496</v>
      </c>
      <c r="CY2" s="4">
        <f t="shared" si="5"/>
        <v>207.30287839006499</v>
      </c>
      <c r="CZ2" s="4">
        <f t="shared" si="5"/>
        <v>362.30287839006496</v>
      </c>
      <c r="DA2" s="4">
        <f t="shared" si="5"/>
        <v>222.30287839006499</v>
      </c>
      <c r="DB2" s="4">
        <f t="shared" si="5"/>
        <v>331.30287839006496</v>
      </c>
      <c r="DC2" s="4">
        <f t="shared" si="5"/>
        <v>468.30287839006496</v>
      </c>
      <c r="DD2" s="4">
        <f t="shared" si="5"/>
        <v>446.30287839006496</v>
      </c>
      <c r="DE2" s="1">
        <f>VLOOKUP(B2,[1]Ranking!$C$3:$BM$19, 34, FALSE)</f>
        <v>73</v>
      </c>
      <c r="DF2" s="4">
        <f>VLOOKUP(B2,[1]Ranking!$C$3:$BM$19, 63, FALSE)</f>
        <v>-415.88987752525645</v>
      </c>
      <c r="DG2" s="4">
        <f>DF2/DE2</f>
        <v>-5.6971216099350199</v>
      </c>
    </row>
    <row r="3" spans="1:111" x14ac:dyDescent="0.3">
      <c r="A3" s="1">
        <v>2</v>
      </c>
      <c r="B3" s="1" t="str">
        <f>VLOOKUP(A3,[1]Ranking!$W$3:$AA$19, 5, FALSE)</f>
        <v>Djokovic</v>
      </c>
      <c r="G3" s="1">
        <f>VLOOKUP($B3,[1]Data!$C$3:$Z$86,G$1, FALSE)</f>
        <v>-4</v>
      </c>
      <c r="H3" s="1">
        <f>VLOOKUP($B3,[1]Data!$C$3:$Z$86,H$1, FALSE)</f>
        <v>-68</v>
      </c>
      <c r="I3" s="1">
        <f>VLOOKUP($B3,[1]Data!$C$3:$Z$86,I$1, FALSE)</f>
        <v>78</v>
      </c>
      <c r="J3" s="1">
        <f>VLOOKUP($B3,[1]Data!$C$3:$Z$86,J$1, FALSE)</f>
        <v>474</v>
      </c>
      <c r="K3" s="1">
        <f>VLOOKUP($B3,[1]Data!$C$3:$Z$86,K$1, FALSE)</f>
        <v>40</v>
      </c>
      <c r="L3" s="1">
        <f>VLOOKUP($B3,[1]Data!$C$3:$Z$86,L$1, FALSE)</f>
        <v>83</v>
      </c>
      <c r="M3" s="1">
        <f>VLOOKUP($B3,[1]Data!$C$3:$Z$86,M$1, FALSE)</f>
        <v>571</v>
      </c>
      <c r="N3" s="1">
        <f>VLOOKUP($B3,[1]Data!$C$3:$Z$86,N$1, FALSE)</f>
        <v>404</v>
      </c>
      <c r="O3" s="1">
        <f>VLOOKUP($B3,[1]Data!$C$3:$Z$86,O$1, FALSE)</f>
        <v>570</v>
      </c>
      <c r="P3" s="1">
        <f>VLOOKUP($B3,[1]Data!$C$3:$Z$86,P$1, FALSE)</f>
        <v>144</v>
      </c>
      <c r="Q3" s="1">
        <f>VLOOKUP($B3,[1]Data!$C$3:$Z$86,Q$1, FALSE)</f>
        <v>472</v>
      </c>
      <c r="R3" s="1">
        <f>VLOOKUP($B3,[1]Data!$C$3:$Z$86,R$1, FALSE)</f>
        <v>545</v>
      </c>
      <c r="S3" s="1">
        <f>VLOOKUP($B3,[1]Data!$C$3:$Z$86,S$1, FALSE)</f>
        <v>-39</v>
      </c>
      <c r="T3" s="1">
        <f>VLOOKUP($B3,[1]Data!$C$3:$Z$86,T$1, FALSE)</f>
        <v>119</v>
      </c>
      <c r="U3" s="1">
        <f>VLOOKUP($B3,[1]Data!$C$3:$Z$86,U$1, FALSE)</f>
        <v>0</v>
      </c>
      <c r="V3" s="1">
        <f>VLOOKUP($B3,[1]Data!$C$3:$Z$86,V$1, FALSE)</f>
        <v>0</v>
      </c>
      <c r="W3" s="1">
        <f>VLOOKUP($B3,[1]Data!$C$3:$Z$86,W$1, FALSE)</f>
        <v>0</v>
      </c>
      <c r="X3" s="1">
        <f>VLOOKUP($B3,[1]Data!$C$3:$Z$86,X$1, FALSE)</f>
        <v>0</v>
      </c>
      <c r="Y3" s="1">
        <f>VLOOKUP($B3,[1]Data!$C$3:$Z$86,Y$1, FALSE)</f>
        <v>0</v>
      </c>
      <c r="Z3" s="1">
        <f>VLOOKUP($B3,[1]Data!$C$3:$Z$86,Z$1, FALSE)</f>
        <v>0</v>
      </c>
      <c r="AA3" s="1">
        <f>VLOOKUP($B3,[1]Data!$C$3:$Z$86,AA$1, FALSE)</f>
        <v>0</v>
      </c>
      <c r="AB3" s="1">
        <f>VLOOKUP($B3,[1]Data!$C$3:$Z$86,AB$1, FALSE)</f>
        <v>0</v>
      </c>
      <c r="AC3" s="1">
        <f>VLOOKUP($B3,[1]Data!$C$3:$Z$86,AC$1, FALSE)</f>
        <v>0</v>
      </c>
      <c r="AE3" s="1">
        <f t="shared" si="0"/>
        <v>21</v>
      </c>
      <c r="AF3" s="1">
        <f t="shared" si="0"/>
        <v>23</v>
      </c>
      <c r="AG3" s="1">
        <f t="shared" si="0"/>
        <v>10</v>
      </c>
      <c r="AH3" s="1">
        <f t="shared" si="0"/>
        <v>4</v>
      </c>
      <c r="AI3" s="1">
        <f t="shared" si="0"/>
        <v>11</v>
      </c>
      <c r="AJ3" s="1">
        <f t="shared" si="0"/>
        <v>9</v>
      </c>
      <c r="AK3" s="1">
        <f t="shared" si="0"/>
        <v>1</v>
      </c>
      <c r="AL3" s="1">
        <f t="shared" si="0"/>
        <v>6</v>
      </c>
      <c r="AM3" s="1">
        <f t="shared" si="0"/>
        <v>2</v>
      </c>
      <c r="AN3" s="1">
        <f t="shared" si="0"/>
        <v>7</v>
      </c>
      <c r="AO3" s="1">
        <f t="shared" si="1"/>
        <v>5</v>
      </c>
      <c r="AP3" s="1">
        <f t="shared" si="1"/>
        <v>3</v>
      </c>
      <c r="AQ3" s="1">
        <f t="shared" si="1"/>
        <v>22</v>
      </c>
      <c r="AR3" s="1">
        <f t="shared" si="1"/>
        <v>8</v>
      </c>
      <c r="AS3" s="1">
        <f t="shared" si="1"/>
        <v>12</v>
      </c>
      <c r="AT3" s="1">
        <f t="shared" si="1"/>
        <v>12</v>
      </c>
      <c r="AU3" s="1">
        <f t="shared" si="1"/>
        <v>12</v>
      </c>
      <c r="AV3" s="1">
        <f t="shared" si="1"/>
        <v>12</v>
      </c>
      <c r="AW3" s="1">
        <f t="shared" si="1"/>
        <v>12</v>
      </c>
      <c r="AX3" s="1">
        <f t="shared" si="1"/>
        <v>12</v>
      </c>
      <c r="AY3" s="1">
        <f t="shared" si="2"/>
        <v>12</v>
      </c>
      <c r="AZ3" s="1">
        <f t="shared" si="2"/>
        <v>12</v>
      </c>
      <c r="BA3" s="1">
        <f t="shared" si="2"/>
        <v>12</v>
      </c>
      <c r="BC3" s="1">
        <f>G3</f>
        <v>-4</v>
      </c>
      <c r="BD3" s="2">
        <f>H3</f>
        <v>-68</v>
      </c>
      <c r="BE3" s="1">
        <f t="shared" ref="BC3:BL5" si="6">IF(AG3&gt;15, "", IF(I3=0, "", I3))</f>
        <v>78</v>
      </c>
      <c r="BF3" s="1">
        <f t="shared" si="6"/>
        <v>474</v>
      </c>
      <c r="BG3" s="1">
        <f t="shared" si="6"/>
        <v>40</v>
      </c>
      <c r="BH3" s="1">
        <f t="shared" si="6"/>
        <v>83</v>
      </c>
      <c r="BI3" s="1">
        <f t="shared" si="6"/>
        <v>571</v>
      </c>
      <c r="BJ3" s="1">
        <f t="shared" si="6"/>
        <v>404</v>
      </c>
      <c r="BK3" s="1">
        <f t="shared" si="6"/>
        <v>570</v>
      </c>
      <c r="BL3" s="1">
        <f t="shared" si="6"/>
        <v>144</v>
      </c>
      <c r="BM3" s="1">
        <f t="shared" ref="BM3:BV5" si="7">IF(AO3&gt;15, "", IF(Q3=0, "", Q3))</f>
        <v>472</v>
      </c>
      <c r="BN3" s="1">
        <f t="shared" si="7"/>
        <v>545</v>
      </c>
      <c r="BO3" s="1">
        <f>S3</f>
        <v>-39</v>
      </c>
      <c r="BP3" s="1">
        <f t="shared" si="7"/>
        <v>119</v>
      </c>
      <c r="BQ3" s="1" t="str">
        <f t="shared" si="7"/>
        <v/>
      </c>
      <c r="BR3" s="1" t="str">
        <f t="shared" si="7"/>
        <v/>
      </c>
      <c r="BS3" s="1" t="str">
        <f t="shared" si="7"/>
        <v/>
      </c>
      <c r="BT3" s="1" t="str">
        <f t="shared" si="7"/>
        <v/>
      </c>
      <c r="BU3" s="1" t="str">
        <f t="shared" si="7"/>
        <v/>
      </c>
      <c r="BV3" s="1" t="str">
        <f t="shared" si="7"/>
        <v/>
      </c>
      <c r="BZ3" s="1">
        <f>BC3</f>
        <v>-4</v>
      </c>
      <c r="CA3" s="2">
        <f t="shared" ref="CA3:CM3" si="8">BD3</f>
        <v>-68</v>
      </c>
      <c r="CB3" s="2">
        <f t="shared" si="8"/>
        <v>78</v>
      </c>
      <c r="CC3" s="2">
        <f t="shared" si="8"/>
        <v>474</v>
      </c>
      <c r="CD3" s="2">
        <f t="shared" si="8"/>
        <v>40</v>
      </c>
      <c r="CE3" s="2">
        <f t="shared" si="8"/>
        <v>83</v>
      </c>
      <c r="CF3" s="2">
        <f t="shared" si="8"/>
        <v>571</v>
      </c>
      <c r="CG3" s="2">
        <f t="shared" si="8"/>
        <v>404</v>
      </c>
      <c r="CH3" s="2">
        <f t="shared" si="8"/>
        <v>570</v>
      </c>
      <c r="CI3" s="2">
        <f t="shared" si="8"/>
        <v>144</v>
      </c>
      <c r="CJ3" s="2">
        <f t="shared" si="8"/>
        <v>472</v>
      </c>
      <c r="CK3" s="2">
        <f t="shared" si="8"/>
        <v>545</v>
      </c>
      <c r="CL3" s="2">
        <f t="shared" si="8"/>
        <v>-39</v>
      </c>
      <c r="CM3" s="2">
        <f t="shared" si="8"/>
        <v>119</v>
      </c>
      <c r="CO3" s="1" t="str">
        <f>B3</f>
        <v>Djokovic</v>
      </c>
      <c r="CP3" s="4">
        <f>BZ3+$DG3</f>
        <v>-11.772117244636421</v>
      </c>
      <c r="CQ3" s="4">
        <f t="shared" ref="CQ3:CQ5" si="9">CA3+$DG3</f>
        <v>-75.772117244636419</v>
      </c>
      <c r="CR3" s="4">
        <f t="shared" ref="CR3:CR5" si="10">CB3+$DG3</f>
        <v>70.227882755363581</v>
      </c>
      <c r="CS3" s="4">
        <f t="shared" ref="CS3:CS5" si="11">CC3+$DG3</f>
        <v>466.22788275536357</v>
      </c>
      <c r="CT3" s="4">
        <f t="shared" ref="CT3:CT5" si="12">CD3+$DG3</f>
        <v>32.227882755363581</v>
      </c>
      <c r="CU3" s="4">
        <f t="shared" ref="CU3:CU5" si="13">CE3+$DG3</f>
        <v>75.227882755363581</v>
      </c>
      <c r="CV3" s="4">
        <f t="shared" ref="CV3:CV5" si="14">CF3+$DG3</f>
        <v>563.22788275536357</v>
      </c>
      <c r="CW3" s="4">
        <f t="shared" ref="CW3:CW5" si="15">CG3+$DG3</f>
        <v>396.22788275536357</v>
      </c>
      <c r="CX3" s="4">
        <f t="shared" ref="CX3:CX5" si="16">CH3+$DG3</f>
        <v>562.22788275536357</v>
      </c>
      <c r="CY3" s="4">
        <f t="shared" ref="CY3:CY5" si="17">CI3+$DG3</f>
        <v>136.22788275536357</v>
      </c>
      <c r="CZ3" s="4">
        <f t="shared" ref="CZ3:CZ4" si="18">CJ3+$DG3</f>
        <v>464.22788275536357</v>
      </c>
      <c r="DA3" s="4">
        <f t="shared" si="5"/>
        <v>537.22788275536357</v>
      </c>
      <c r="DB3" s="4">
        <f t="shared" si="5"/>
        <v>-46.772117244636419</v>
      </c>
      <c r="DC3" s="4">
        <f t="shared" si="5"/>
        <v>111.22788275536358</v>
      </c>
      <c r="DD3" s="4"/>
      <c r="DE3" s="1">
        <f>VLOOKUP(B3,[1]Ranking!$C$3:$BM$19, 34, FALSE)</f>
        <v>54</v>
      </c>
      <c r="DF3" s="4">
        <f>VLOOKUP(B3,[1]Ranking!$C$3:$BM$19, 63, FALSE)</f>
        <v>-419.69433121036673</v>
      </c>
      <c r="DG3" s="4">
        <f>DF3/DE3</f>
        <v>-7.7721172446364211</v>
      </c>
    </row>
    <row r="4" spans="1:111" x14ac:dyDescent="0.3">
      <c r="A4" s="1">
        <v>3</v>
      </c>
      <c r="B4" s="1" t="str">
        <f>VLOOKUP(A4,[1]Ranking!$W$3:$AA$19, 5, FALSE)</f>
        <v>Nadal</v>
      </c>
      <c r="G4" s="1">
        <f>VLOOKUP($B4,[1]Data!$C$3:$Z$86,G$1, FALSE)</f>
        <v>0</v>
      </c>
      <c r="H4" s="1">
        <f>VLOOKUP($B4,[1]Data!$C$3:$Z$86,H$1, FALSE)</f>
        <v>-1</v>
      </c>
      <c r="I4" s="1">
        <f>VLOOKUP($B4,[1]Data!$C$3:$Z$86,I$1, FALSE)</f>
        <v>118</v>
      </c>
      <c r="J4" s="1">
        <f>VLOOKUP($B4,[1]Data!$C$3:$Z$86,J$1, FALSE)</f>
        <v>0</v>
      </c>
      <c r="K4" s="1">
        <f>VLOOKUP($B4,[1]Data!$C$3:$Z$86,K$1, FALSE)</f>
        <v>203</v>
      </c>
      <c r="L4" s="1">
        <f>VLOOKUP($B4,[1]Data!$C$3:$Z$86,L$1, FALSE)</f>
        <v>183</v>
      </c>
      <c r="M4" s="1">
        <f>VLOOKUP($B4,[1]Data!$C$3:$Z$86,M$1, FALSE)</f>
        <v>469</v>
      </c>
      <c r="N4" s="1">
        <f>VLOOKUP($B4,[1]Data!$C$3:$Z$86,N$1, FALSE)</f>
        <v>204</v>
      </c>
      <c r="O4" s="1">
        <f>VLOOKUP($B4,[1]Data!$C$3:$Z$86,O$1, FALSE)</f>
        <v>107</v>
      </c>
      <c r="P4" s="1">
        <f>VLOOKUP($B4,[1]Data!$C$3:$Z$86,P$1, FALSE)</f>
        <v>304</v>
      </c>
      <c r="Q4" s="1">
        <f>VLOOKUP($B4,[1]Data!$C$3:$Z$86,Q$1, FALSE)</f>
        <v>0</v>
      </c>
      <c r="R4" s="1">
        <f>VLOOKUP($B4,[1]Data!$C$3:$Z$86,R$1, FALSE)</f>
        <v>397</v>
      </c>
      <c r="S4" s="1">
        <f>VLOOKUP($B4,[1]Data!$C$3:$Z$86,S$1, FALSE)</f>
        <v>152</v>
      </c>
      <c r="T4" s="1">
        <f>VLOOKUP($B4,[1]Data!$C$3:$Z$86,T$1, FALSE)</f>
        <v>-45</v>
      </c>
      <c r="U4" s="1">
        <f>VLOOKUP($B4,[1]Data!$C$3:$Z$86,U$1, FALSE)</f>
        <v>480</v>
      </c>
      <c r="V4" s="1">
        <f>VLOOKUP($B4,[1]Data!$C$3:$Z$86,V$1, FALSE)</f>
        <v>231</v>
      </c>
      <c r="W4" s="1">
        <f>VLOOKUP($B4,[1]Data!$C$3:$Z$86,W$1, FALSE)</f>
        <v>0</v>
      </c>
      <c r="X4" s="1">
        <f>VLOOKUP($B4,[1]Data!$C$3:$Z$86,X$1, FALSE)</f>
        <v>0</v>
      </c>
      <c r="Y4" s="1">
        <f>VLOOKUP($B4,[1]Data!$C$3:$Z$86,Y$1, FALSE)</f>
        <v>0</v>
      </c>
      <c r="Z4" s="1">
        <f>VLOOKUP($B4,[1]Data!$C$3:$Z$86,Z$1, FALSE)</f>
        <v>0</v>
      </c>
      <c r="AA4" s="1">
        <f>VLOOKUP($B4,[1]Data!$C$3:$Z$86,AA$1, FALSE)</f>
        <v>0</v>
      </c>
      <c r="AB4" s="1">
        <f>VLOOKUP($B4,[1]Data!$C$3:$Z$86,AB$1, FALSE)</f>
        <v>0</v>
      </c>
      <c r="AC4" s="1">
        <f>VLOOKUP($B4,[1]Data!$C$3:$Z$86,AC$1, FALSE)</f>
        <v>0</v>
      </c>
      <c r="AE4" s="1">
        <f t="shared" si="0"/>
        <v>12</v>
      </c>
      <c r="AF4" s="1">
        <f t="shared" si="0"/>
        <v>22</v>
      </c>
      <c r="AG4" s="1">
        <f t="shared" si="0"/>
        <v>10</v>
      </c>
      <c r="AH4" s="1">
        <f t="shared" si="0"/>
        <v>12</v>
      </c>
      <c r="AI4" s="1">
        <f t="shared" si="0"/>
        <v>7</v>
      </c>
      <c r="AJ4" s="1">
        <f t="shared" si="0"/>
        <v>8</v>
      </c>
      <c r="AK4" s="1">
        <f t="shared" si="0"/>
        <v>2</v>
      </c>
      <c r="AL4" s="1">
        <f t="shared" si="0"/>
        <v>6</v>
      </c>
      <c r="AM4" s="1">
        <f t="shared" si="0"/>
        <v>11</v>
      </c>
      <c r="AN4" s="1">
        <f t="shared" si="0"/>
        <v>4</v>
      </c>
      <c r="AO4" s="1">
        <f t="shared" si="1"/>
        <v>12</v>
      </c>
      <c r="AP4" s="1">
        <f t="shared" si="1"/>
        <v>3</v>
      </c>
      <c r="AQ4" s="1">
        <f t="shared" si="1"/>
        <v>9</v>
      </c>
      <c r="AR4" s="1">
        <f t="shared" si="1"/>
        <v>23</v>
      </c>
      <c r="AS4" s="1">
        <f t="shared" si="1"/>
        <v>1</v>
      </c>
      <c r="AT4" s="1">
        <f t="shared" si="1"/>
        <v>5</v>
      </c>
      <c r="AU4" s="1">
        <f t="shared" si="1"/>
        <v>12</v>
      </c>
      <c r="AV4" s="1">
        <f t="shared" si="1"/>
        <v>12</v>
      </c>
      <c r="AW4" s="1">
        <f t="shared" si="1"/>
        <v>12</v>
      </c>
      <c r="AX4" s="1">
        <f t="shared" si="1"/>
        <v>12</v>
      </c>
      <c r="AY4" s="1">
        <f t="shared" si="2"/>
        <v>12</v>
      </c>
      <c r="AZ4" s="1">
        <f t="shared" si="2"/>
        <v>12</v>
      </c>
      <c r="BA4" s="1">
        <f t="shared" si="2"/>
        <v>12</v>
      </c>
      <c r="BC4" s="1" t="str">
        <f t="shared" si="6"/>
        <v/>
      </c>
      <c r="BD4" s="1">
        <f>H4</f>
        <v>-1</v>
      </c>
      <c r="BE4" s="1">
        <f t="shared" si="6"/>
        <v>118</v>
      </c>
      <c r="BF4" s="1" t="str">
        <f t="shared" si="6"/>
        <v/>
      </c>
      <c r="BG4" s="1">
        <f t="shared" si="6"/>
        <v>203</v>
      </c>
      <c r="BH4" s="1">
        <f t="shared" si="6"/>
        <v>183</v>
      </c>
      <c r="BI4" s="1">
        <f t="shared" si="6"/>
        <v>469</v>
      </c>
      <c r="BJ4" s="1">
        <f t="shared" si="6"/>
        <v>204</v>
      </c>
      <c r="BK4" s="1">
        <f t="shared" si="6"/>
        <v>107</v>
      </c>
      <c r="BL4" s="1">
        <f t="shared" si="6"/>
        <v>304</v>
      </c>
      <c r="BM4" s="1" t="str">
        <f t="shared" si="7"/>
        <v/>
      </c>
      <c r="BN4" s="1">
        <f t="shared" si="7"/>
        <v>397</v>
      </c>
      <c r="BO4" s="1">
        <f t="shared" si="7"/>
        <v>152</v>
      </c>
      <c r="BP4" s="1">
        <f>T4</f>
        <v>-45</v>
      </c>
      <c r="BQ4" s="1">
        <f t="shared" si="7"/>
        <v>480</v>
      </c>
      <c r="BR4" s="1">
        <f t="shared" si="7"/>
        <v>231</v>
      </c>
      <c r="BS4" s="1" t="str">
        <f t="shared" si="7"/>
        <v/>
      </c>
      <c r="BT4" s="1" t="str">
        <f t="shared" si="7"/>
        <v/>
      </c>
      <c r="BU4" s="1" t="str">
        <f t="shared" si="7"/>
        <v/>
      </c>
      <c r="BV4" s="1" t="str">
        <f t="shared" si="7"/>
        <v/>
      </c>
      <c r="BZ4" s="1">
        <f>BE4</f>
        <v>118</v>
      </c>
      <c r="CA4" s="1">
        <f t="shared" ref="CA4:CF4" si="19">BG4</f>
        <v>203</v>
      </c>
      <c r="CB4" s="1">
        <f t="shared" si="19"/>
        <v>183</v>
      </c>
      <c r="CC4" s="1">
        <f t="shared" si="19"/>
        <v>469</v>
      </c>
      <c r="CD4" s="1">
        <f t="shared" si="19"/>
        <v>204</v>
      </c>
      <c r="CE4" s="1">
        <f t="shared" si="19"/>
        <v>107</v>
      </c>
      <c r="CF4" s="1">
        <f t="shared" si="19"/>
        <v>304</v>
      </c>
      <c r="CG4" s="1">
        <f>BN4</f>
        <v>397</v>
      </c>
      <c r="CH4" s="1">
        <f>BO4</f>
        <v>152</v>
      </c>
      <c r="CI4" s="1">
        <f>BQ4</f>
        <v>480</v>
      </c>
      <c r="CJ4" s="1">
        <f>BR4</f>
        <v>231</v>
      </c>
      <c r="CK4" s="1">
        <f>BD4</f>
        <v>-1</v>
      </c>
      <c r="CL4" s="1">
        <f>BP4</f>
        <v>-45</v>
      </c>
      <c r="CO4" s="1" t="str">
        <f>B4</f>
        <v>Nadal</v>
      </c>
      <c r="CP4" s="4">
        <f>BZ4+$DG4</f>
        <v>110.22788275536358</v>
      </c>
      <c r="CQ4" s="4">
        <f t="shared" si="9"/>
        <v>195.22788275536357</v>
      </c>
      <c r="CR4" s="4">
        <f t="shared" si="10"/>
        <v>175.22788275536357</v>
      </c>
      <c r="CS4" s="4">
        <f t="shared" si="11"/>
        <v>461.22788275536357</v>
      </c>
      <c r="CT4" s="4">
        <f t="shared" si="12"/>
        <v>196.22788275536357</v>
      </c>
      <c r="CU4" s="4">
        <f t="shared" si="13"/>
        <v>99.227882755363581</v>
      </c>
      <c r="CV4" s="4">
        <f t="shared" si="14"/>
        <v>296.22788275536357</v>
      </c>
      <c r="CW4" s="4">
        <f t="shared" si="15"/>
        <v>389.22788275536357</v>
      </c>
      <c r="CX4" s="4">
        <f t="shared" si="16"/>
        <v>144.22788275536357</v>
      </c>
      <c r="CY4" s="4">
        <f t="shared" si="17"/>
        <v>472.22788275536357</v>
      </c>
      <c r="CZ4" s="4">
        <f t="shared" si="18"/>
        <v>223.22788275536357</v>
      </c>
      <c r="DA4" s="4">
        <f t="shared" si="5"/>
        <v>-8.7721172446364228</v>
      </c>
      <c r="DB4" s="4">
        <f t="shared" si="5"/>
        <v>-52.772117244636419</v>
      </c>
      <c r="DC4" s="4"/>
      <c r="DD4" s="4"/>
      <c r="DE4" s="1">
        <f>VLOOKUP(B4,[1]Ranking!$C$3:$BM$19, 34, FALSE)</f>
        <v>53</v>
      </c>
      <c r="DF4" s="4">
        <f>VLOOKUP(B4,[1]Ranking!$C$3:$BM$19, 63, FALSE)</f>
        <v>-411.92221396573041</v>
      </c>
      <c r="DG4" s="4">
        <f>DF4/DE4</f>
        <v>-7.7721172446364228</v>
      </c>
    </row>
    <row r="5" spans="1:111" x14ac:dyDescent="0.3">
      <c r="A5" s="1">
        <v>4</v>
      </c>
      <c r="B5" s="1" t="str">
        <f>VLOOKUP(A5,[1]Ranking!$W$3:$AA$19, 5, FALSE)</f>
        <v>Agassi</v>
      </c>
      <c r="G5" s="1">
        <f>VLOOKUP($B5,[1]Data!$C$3:$Z$86,G$1, FALSE)</f>
        <v>0</v>
      </c>
      <c r="H5" s="1">
        <f>VLOOKUP($B5,[1]Data!$C$3:$Z$86,H$1, FALSE)</f>
        <v>0</v>
      </c>
      <c r="I5" s="1">
        <f>VLOOKUP($B5,[1]Data!$C$3:$Z$86,I$1, FALSE)</f>
        <v>0</v>
      </c>
      <c r="J5" s="1">
        <f>VLOOKUP($B5,[1]Data!$C$3:$Z$86,J$1, FALSE)</f>
        <v>0</v>
      </c>
      <c r="K5" s="1">
        <f>VLOOKUP($B5,[1]Data!$C$3:$Z$86,K$1, FALSE)</f>
        <v>0</v>
      </c>
      <c r="L5" s="1">
        <f>VLOOKUP($B5,[1]Data!$C$3:$Z$86,L$1, FALSE)</f>
        <v>0</v>
      </c>
      <c r="M5" s="1">
        <f>VLOOKUP($B5,[1]Data!$C$3:$Z$86,M$1, FALSE)</f>
        <v>0</v>
      </c>
      <c r="N5" s="1">
        <f>VLOOKUP($B5,[1]Data!$C$3:$Z$86,N$1, FALSE)</f>
        <v>0</v>
      </c>
      <c r="O5" s="1">
        <f>VLOOKUP($B5,[1]Data!$C$3:$Z$86,O$1, FALSE)</f>
        <v>0</v>
      </c>
      <c r="P5" s="1">
        <f>VLOOKUP($B5,[1]Data!$C$3:$Z$86,P$1, FALSE)</f>
        <v>376</v>
      </c>
      <c r="Q5" s="1">
        <f>VLOOKUP($B5,[1]Data!$C$3:$Z$86,Q$1, FALSE)</f>
        <v>181</v>
      </c>
      <c r="R5" s="1">
        <f>VLOOKUP($B5,[1]Data!$C$3:$Z$86,R$1, FALSE)</f>
        <v>0</v>
      </c>
      <c r="S5" s="1">
        <f>VLOOKUP($B5,[1]Data!$C$3:$Z$86,S$1, FALSE)</f>
        <v>99</v>
      </c>
      <c r="T5" s="1">
        <f>VLOOKUP($B5,[1]Data!$C$3:$Z$86,T$1, FALSE)</f>
        <v>24</v>
      </c>
      <c r="U5" s="1">
        <f>VLOOKUP($B5,[1]Data!$C$3:$Z$86,U$1, FALSE)</f>
        <v>509</v>
      </c>
      <c r="V5" s="1">
        <f>VLOOKUP($B5,[1]Data!$C$3:$Z$86,V$1, FALSE)</f>
        <v>423</v>
      </c>
      <c r="W5" s="1">
        <f>VLOOKUP($B5,[1]Data!$C$3:$Z$86,W$1, FALSE)</f>
        <v>0</v>
      </c>
      <c r="X5" s="1">
        <f>VLOOKUP($B5,[1]Data!$C$3:$Z$86,X$1, FALSE)</f>
        <v>438</v>
      </c>
      <c r="Y5" s="1">
        <f>VLOOKUP($B5,[1]Data!$C$3:$Z$86,Y$1, FALSE)</f>
        <v>118</v>
      </c>
      <c r="Z5" s="1">
        <f>VLOOKUP($B5,[1]Data!$C$3:$Z$86,Z$1, FALSE)</f>
        <v>232</v>
      </c>
      <c r="AA5" s="1">
        <f>VLOOKUP($B5,[1]Data!$C$3:$Z$86,AA$1, FALSE)</f>
        <v>0</v>
      </c>
      <c r="AB5" s="1">
        <f>VLOOKUP($B5,[1]Data!$C$3:$Z$86,AB$1, FALSE)</f>
        <v>0</v>
      </c>
      <c r="AC5" s="1">
        <f>VLOOKUP($B5,[1]Data!$C$3:$Z$86,AC$1, FALSE)</f>
        <v>0</v>
      </c>
      <c r="AE5" s="1">
        <f t="shared" si="0"/>
        <v>10</v>
      </c>
      <c r="AF5" s="1">
        <f t="shared" si="0"/>
        <v>10</v>
      </c>
      <c r="AG5" s="1">
        <f t="shared" si="0"/>
        <v>10</v>
      </c>
      <c r="AH5" s="1">
        <f t="shared" si="0"/>
        <v>10</v>
      </c>
      <c r="AI5" s="1">
        <f t="shared" si="0"/>
        <v>10</v>
      </c>
      <c r="AJ5" s="1">
        <f t="shared" si="0"/>
        <v>10</v>
      </c>
      <c r="AK5" s="1">
        <f t="shared" si="0"/>
        <v>10</v>
      </c>
      <c r="AL5" s="1">
        <f t="shared" si="0"/>
        <v>10</v>
      </c>
      <c r="AM5" s="1">
        <f t="shared" si="0"/>
        <v>10</v>
      </c>
      <c r="AN5" s="1">
        <f t="shared" si="0"/>
        <v>4</v>
      </c>
      <c r="AO5" s="1">
        <f t="shared" si="1"/>
        <v>6</v>
      </c>
      <c r="AP5" s="1">
        <f t="shared" si="1"/>
        <v>10</v>
      </c>
      <c r="AQ5" s="1">
        <f t="shared" si="1"/>
        <v>8</v>
      </c>
      <c r="AR5" s="1">
        <f t="shared" si="1"/>
        <v>9</v>
      </c>
      <c r="AS5" s="1">
        <f t="shared" si="1"/>
        <v>1</v>
      </c>
      <c r="AT5" s="1">
        <f t="shared" si="1"/>
        <v>3</v>
      </c>
      <c r="AU5" s="1">
        <f t="shared" si="1"/>
        <v>10</v>
      </c>
      <c r="AV5" s="1">
        <f t="shared" si="1"/>
        <v>2</v>
      </c>
      <c r="AW5" s="1">
        <f t="shared" si="1"/>
        <v>7</v>
      </c>
      <c r="AX5" s="1">
        <f t="shared" si="1"/>
        <v>5</v>
      </c>
      <c r="AY5" s="1">
        <f t="shared" si="2"/>
        <v>10</v>
      </c>
      <c r="AZ5" s="1">
        <f t="shared" si="2"/>
        <v>10</v>
      </c>
      <c r="BA5" s="1">
        <f t="shared" si="2"/>
        <v>10</v>
      </c>
      <c r="BC5" s="1" t="str">
        <f t="shared" si="6"/>
        <v/>
      </c>
      <c r="BD5" s="1" t="str">
        <f t="shared" si="6"/>
        <v/>
      </c>
      <c r="BE5" s="1" t="str">
        <f t="shared" si="6"/>
        <v/>
      </c>
      <c r="BF5" s="1" t="str">
        <f t="shared" si="6"/>
        <v/>
      </c>
      <c r="BG5" s="1" t="str">
        <f t="shared" si="6"/>
        <v/>
      </c>
      <c r="BH5" s="1" t="str">
        <f t="shared" si="6"/>
        <v/>
      </c>
      <c r="BI5" s="1" t="str">
        <f t="shared" si="6"/>
        <v/>
      </c>
      <c r="BJ5" s="1" t="str">
        <f t="shared" si="6"/>
        <v/>
      </c>
      <c r="BK5" s="1" t="str">
        <f t="shared" si="6"/>
        <v/>
      </c>
      <c r="BL5" s="1">
        <f t="shared" si="6"/>
        <v>376</v>
      </c>
      <c r="BM5" s="1">
        <f t="shared" si="7"/>
        <v>181</v>
      </c>
      <c r="BN5" s="1" t="str">
        <f t="shared" si="7"/>
        <v/>
      </c>
      <c r="BO5" s="1">
        <f t="shared" si="7"/>
        <v>99</v>
      </c>
      <c r="BP5" s="1">
        <f t="shared" si="7"/>
        <v>24</v>
      </c>
      <c r="BQ5" s="1">
        <f t="shared" si="7"/>
        <v>509</v>
      </c>
      <c r="BR5" s="1">
        <f t="shared" si="7"/>
        <v>423</v>
      </c>
      <c r="BS5" s="1" t="str">
        <f t="shared" si="7"/>
        <v/>
      </c>
      <c r="BT5" s="1">
        <f t="shared" si="7"/>
        <v>438</v>
      </c>
      <c r="BU5" s="1">
        <f t="shared" si="7"/>
        <v>118</v>
      </c>
      <c r="BV5" s="1">
        <f t="shared" si="7"/>
        <v>232</v>
      </c>
      <c r="BZ5" s="1">
        <f>BL5</f>
        <v>376</v>
      </c>
      <c r="CA5" s="1">
        <f>BM5</f>
        <v>181</v>
      </c>
      <c r="CB5" s="1">
        <f>BO5</f>
        <v>99</v>
      </c>
      <c r="CC5" s="1">
        <f>BP5</f>
        <v>24</v>
      </c>
      <c r="CD5" s="1">
        <f>BQ5</f>
        <v>509</v>
      </c>
      <c r="CE5" s="1">
        <f>BR5</f>
        <v>423</v>
      </c>
      <c r="CF5" s="1">
        <f>BT5</f>
        <v>438</v>
      </c>
      <c r="CG5" s="1">
        <f>BU5</f>
        <v>118</v>
      </c>
      <c r="CH5" s="1">
        <f>BV5</f>
        <v>232</v>
      </c>
      <c r="CI5" s="1">
        <v>0</v>
      </c>
      <c r="CO5" s="1" t="str">
        <f>B5</f>
        <v>Agassi</v>
      </c>
      <c r="CP5" s="4">
        <f>BZ5+$DG5</f>
        <v>381.88543599032442</v>
      </c>
      <c r="CQ5" s="4">
        <f t="shared" si="9"/>
        <v>186.88543599032445</v>
      </c>
      <c r="CR5" s="4">
        <f t="shared" si="10"/>
        <v>104.88543599032444</v>
      </c>
      <c r="CS5" s="4">
        <f t="shared" si="11"/>
        <v>29.885435990324442</v>
      </c>
      <c r="CT5" s="4">
        <f t="shared" si="12"/>
        <v>514.88543599032448</v>
      </c>
      <c r="CU5" s="4">
        <f t="shared" si="13"/>
        <v>428.88543599032442</v>
      </c>
      <c r="CV5" s="4">
        <f t="shared" si="14"/>
        <v>443.88543599032442</v>
      </c>
      <c r="CW5" s="4">
        <f t="shared" si="15"/>
        <v>123.88543599032444</v>
      </c>
      <c r="CX5" s="4">
        <f t="shared" si="16"/>
        <v>237.88543599032445</v>
      </c>
      <c r="CY5" s="4">
        <f t="shared" si="17"/>
        <v>5.8854359903244422</v>
      </c>
      <c r="CZ5" s="4"/>
      <c r="DA5" s="4"/>
      <c r="DB5" s="4"/>
      <c r="DC5" s="4"/>
      <c r="DD5" s="4"/>
      <c r="DE5" s="1">
        <f>VLOOKUP(B5,[1]Ranking!$C$3:$BM$19, 34, FALSE)</f>
        <v>61</v>
      </c>
      <c r="DF5" s="4">
        <f>VLOOKUP(B5,[1]Ranking!$C$3:$BM$19, 63, FALSE)</f>
        <v>359.01159540979097</v>
      </c>
      <c r="DG5" s="4">
        <f>DF5/DE5</f>
        <v>5.8854359903244422</v>
      </c>
    </row>
    <row r="6" spans="1:111" x14ac:dyDescent="0.3">
      <c r="A6" s="13" t="s">
        <v>1</v>
      </c>
      <c r="B6" s="13"/>
    </row>
    <row r="7" spans="1:111" x14ac:dyDescent="0.3">
      <c r="A7" s="1">
        <v>5</v>
      </c>
      <c r="B7" s="1" t="str">
        <f>VLOOKUP(A7,[1]Ranking!$W$3:$AA$19, 5, FALSE)</f>
        <v>Lendl</v>
      </c>
      <c r="D7" s="3">
        <f t="shared" ref="D7:D18" ca="1" si="20">RAND()</f>
        <v>0.70772140787616222</v>
      </c>
      <c r="E7" s="1">
        <f t="shared" ref="E7:E18" ca="1" si="21">RANK(D7,$D$7:$D$18)</f>
        <v>7</v>
      </c>
      <c r="F7" s="1" t="str">
        <f>B7</f>
        <v>Lendl</v>
      </c>
      <c r="G7" s="1">
        <f>VLOOKUP($B7,[1]Data!$C$3:$Z$86,G$1, FALSE)</f>
        <v>0</v>
      </c>
      <c r="H7" s="1">
        <f>VLOOKUP($B7,[1]Data!$C$3:$Z$86,H$1, FALSE)</f>
        <v>0</v>
      </c>
      <c r="I7" s="1">
        <f>VLOOKUP($B7,[1]Data!$C$3:$Z$86,I$1, FALSE)</f>
        <v>42</v>
      </c>
      <c r="J7" s="1">
        <f>VLOOKUP($B7,[1]Data!$C$3:$Z$86,J$1, FALSE)</f>
        <v>0</v>
      </c>
      <c r="K7" s="1">
        <f>VLOOKUP($B7,[1]Data!$C$3:$Z$86,K$1, FALSE)</f>
        <v>0</v>
      </c>
      <c r="L7" s="1">
        <f>VLOOKUP($B7,[1]Data!$C$3:$Z$86,L$1, FALSE)</f>
        <v>341</v>
      </c>
      <c r="M7" s="1">
        <f>VLOOKUP($B7,[1]Data!$C$3:$Z$86,M$1, FALSE)</f>
        <v>126</v>
      </c>
      <c r="N7" s="1">
        <f>VLOOKUP($B7,[1]Data!$C$3:$Z$86,N$1, FALSE)</f>
        <v>133</v>
      </c>
      <c r="O7" s="1">
        <f>VLOOKUP($B7,[1]Data!$C$3:$Z$86,O$1, FALSE)</f>
        <v>0</v>
      </c>
      <c r="P7" s="1">
        <f>VLOOKUP($B7,[1]Data!$C$3:$Z$86,P$1, FALSE)</f>
        <v>141</v>
      </c>
      <c r="Q7" s="1">
        <f>VLOOKUP($B7,[1]Data!$C$3:$Z$86,Q$1, FALSE)</f>
        <v>151</v>
      </c>
      <c r="R7" s="1">
        <f>VLOOKUP($B7,[1]Data!$C$3:$Z$86,R$1, FALSE)</f>
        <v>444</v>
      </c>
      <c r="S7" s="1">
        <f>VLOOKUP($B7,[1]Data!$C$3:$Z$86,S$1, FALSE)</f>
        <v>365</v>
      </c>
      <c r="T7" s="1">
        <f>VLOOKUP($B7,[1]Data!$C$3:$Z$86,T$1, FALSE)</f>
        <v>371</v>
      </c>
      <c r="U7" s="1">
        <f>VLOOKUP($B7,[1]Data!$C$3:$Z$86,U$1, FALSE)</f>
        <v>134</v>
      </c>
      <c r="V7" s="1">
        <f>VLOOKUP($B7,[1]Data!$C$3:$Z$86,V$1, FALSE)</f>
        <v>-62</v>
      </c>
      <c r="W7" s="1">
        <f>VLOOKUP($B7,[1]Data!$C$3:$Z$86,W$1, FALSE)</f>
        <v>179</v>
      </c>
      <c r="X7" s="1">
        <f>VLOOKUP($B7,[1]Data!$C$3:$Z$86,X$1, FALSE)</f>
        <v>0</v>
      </c>
      <c r="Y7" s="1">
        <f>VLOOKUP($B7,[1]Data!$C$3:$Z$86,Y$1, FALSE)</f>
        <v>0</v>
      </c>
      <c r="Z7" s="1">
        <f>VLOOKUP($B7,[1]Data!$C$3:$Z$86,Z$1, FALSE)</f>
        <v>0</v>
      </c>
      <c r="AA7" s="1">
        <f>VLOOKUP($B7,[1]Data!$C$3:$Z$86,AA$1, FALSE)</f>
        <v>0</v>
      </c>
      <c r="AB7" s="1">
        <f>VLOOKUP($B7,[1]Data!$C$3:$Z$86,AB$1, FALSE)</f>
        <v>0</v>
      </c>
      <c r="AC7" s="1">
        <f>VLOOKUP($B7,[1]Data!$C$3:$Z$86,AC$1, FALSE)</f>
        <v>0</v>
      </c>
      <c r="AE7" s="1">
        <f t="shared" ref="AE7:AE18" si="22">RANK(G7,$G7:$AC7)</f>
        <v>12</v>
      </c>
      <c r="AF7" s="1">
        <f t="shared" ref="AF7:AF18" si="23">RANK(H7,$G7:$AC7)</f>
        <v>12</v>
      </c>
      <c r="AG7" s="1">
        <f t="shared" ref="AG7:AG18" si="24">RANK(I7,$G7:$AC7)</f>
        <v>11</v>
      </c>
      <c r="AH7" s="1">
        <f t="shared" ref="AH7:AH18" si="25">RANK(J7,$G7:$AC7)</f>
        <v>12</v>
      </c>
      <c r="AI7" s="1">
        <f t="shared" ref="AI7:AI18" si="26">RANK(K7,$G7:$AC7)</f>
        <v>12</v>
      </c>
      <c r="AJ7" s="1">
        <f t="shared" ref="AJ7:AJ18" si="27">RANK(L7,$G7:$AC7)</f>
        <v>4</v>
      </c>
      <c r="AK7" s="1">
        <f t="shared" ref="AK7:AK18" si="28">RANK(M7,$G7:$AC7)</f>
        <v>10</v>
      </c>
      <c r="AL7" s="1">
        <f t="shared" ref="AL7:AL18" si="29">RANK(N7,$G7:$AC7)</f>
        <v>9</v>
      </c>
      <c r="AM7" s="1">
        <f t="shared" ref="AM7:AM18" si="30">RANK(O7,$G7:$AC7)</f>
        <v>12</v>
      </c>
      <c r="AN7" s="1">
        <f t="shared" ref="AN7:AN18" si="31">RANK(P7,$G7:$AC7)</f>
        <v>7</v>
      </c>
      <c r="AO7" s="1">
        <f t="shared" ref="AO7:AO18" si="32">RANK(Q7,$G7:$AC7)</f>
        <v>6</v>
      </c>
      <c r="AP7" s="1">
        <f t="shared" ref="AP7:AP18" si="33">RANK(R7,$G7:$AC7)</f>
        <v>1</v>
      </c>
      <c r="AQ7" s="1">
        <f t="shared" ref="AQ7:AQ18" si="34">RANK(S7,$G7:$AC7)</f>
        <v>3</v>
      </c>
      <c r="AR7" s="1">
        <f t="shared" ref="AR7:AR18" si="35">RANK(T7,$G7:$AC7)</f>
        <v>2</v>
      </c>
      <c r="AS7" s="1">
        <f t="shared" ref="AS7:AS18" si="36">RANK(U7,$G7:$AC7)</f>
        <v>8</v>
      </c>
      <c r="AT7" s="1">
        <f t="shared" ref="AT7:AT18" si="37">RANK(V7,$G7:$AC7)</f>
        <v>23</v>
      </c>
      <c r="AU7" s="1">
        <f t="shared" ref="AU7:AU18" si="38">RANK(W7,$G7:$AC7)</f>
        <v>5</v>
      </c>
      <c r="AV7" s="1">
        <f t="shared" ref="AV7:AV18" si="39">RANK(X7,$G7:$AC7)</f>
        <v>12</v>
      </c>
      <c r="AW7" s="1">
        <f t="shared" ref="AW7:AW18" si="40">RANK(Y7,$G7:$AC7)</f>
        <v>12</v>
      </c>
      <c r="AX7" s="1">
        <f t="shared" ref="AX7:AX18" si="41">RANK(Z7,$G7:$AC7)</f>
        <v>12</v>
      </c>
      <c r="AY7" s="1">
        <f t="shared" ref="AY7:AY18" si="42">RANK(AA7,$G7:$AC7)</f>
        <v>12</v>
      </c>
      <c r="AZ7" s="1">
        <f t="shared" ref="AZ7:AZ18" si="43">RANK(AB7,$G7:$AC7)</f>
        <v>12</v>
      </c>
      <c r="BA7" s="1">
        <f t="shared" ref="BA7:BA18" si="44">RANK(AC7,$G7:$AC7)</f>
        <v>12</v>
      </c>
      <c r="BC7" s="1" t="str">
        <f t="shared" ref="BC7:BC18" si="45">IF(AE7&gt;15, "", IF(G7=0, "", G7))</f>
        <v/>
      </c>
      <c r="BD7" s="1" t="str">
        <f t="shared" ref="BD7:BD18" si="46">IF(AF7&gt;15, "", IF(H7=0, "", H7))</f>
        <v/>
      </c>
      <c r="BE7" s="1">
        <f t="shared" ref="BE7:BE18" si="47">IF(AG7&gt;15, "", IF(I7=0, "", I7))</f>
        <v>42</v>
      </c>
      <c r="BF7" s="1" t="str">
        <f t="shared" ref="BF7:BF18" si="48">IF(AH7&gt;15, "", IF(J7=0, "", J7))</f>
        <v/>
      </c>
      <c r="BG7" s="1" t="str">
        <f t="shared" ref="BG7:BG18" si="49">IF(AI7&gt;15, "", IF(K7=0, "", K7))</f>
        <v/>
      </c>
      <c r="BH7" s="1">
        <f t="shared" ref="BH7:BH18" si="50">IF(AJ7&gt;15, "", IF(L7=0, "", L7))</f>
        <v>341</v>
      </c>
      <c r="BI7" s="1">
        <f t="shared" ref="BI7:BI18" si="51">IF(AK7&gt;15, "", IF(M7=0, "", M7))</f>
        <v>126</v>
      </c>
      <c r="BJ7" s="1">
        <f t="shared" ref="BJ7:BJ18" si="52">IF(AL7&gt;15, "", IF(N7=0, "", N7))</f>
        <v>133</v>
      </c>
      <c r="BK7" s="1" t="str">
        <f t="shared" ref="BK7:BK18" si="53">IF(AM7&gt;15, "", IF(O7=0, "", O7))</f>
        <v/>
      </c>
      <c r="BL7" s="1">
        <f t="shared" ref="BL7:BL18" si="54">IF(AN7&gt;15, "", IF(P7=0, "", P7))</f>
        <v>141</v>
      </c>
      <c r="BM7" s="1">
        <f t="shared" ref="BM7:BM18" si="55">IF(AO7&gt;15, "", IF(Q7=0, "", Q7))</f>
        <v>151</v>
      </c>
      <c r="BN7" s="1">
        <f t="shared" ref="BN7:BN18" si="56">IF(AP7&gt;15, "", IF(R7=0, "", R7))</f>
        <v>444</v>
      </c>
      <c r="BO7" s="1">
        <f t="shared" ref="BO7:BO18" si="57">IF(AQ7&gt;15, "", IF(S7=0, "", S7))</f>
        <v>365</v>
      </c>
      <c r="BP7" s="1">
        <f t="shared" ref="BP7:BP18" si="58">IF(AR7&gt;15, "", IF(T7=0, "", T7))</f>
        <v>371</v>
      </c>
      <c r="BQ7" s="1">
        <f t="shared" ref="BQ7:BQ18" si="59">IF(AS7&gt;15, "", IF(U7=0, "", U7))</f>
        <v>134</v>
      </c>
      <c r="BR7" s="1">
        <f>V7</f>
        <v>-62</v>
      </c>
      <c r="BS7" s="1">
        <f t="shared" ref="BS7:BS18" si="60">IF(AU7&gt;15, "", IF(W7=0, "", W7))</f>
        <v>179</v>
      </c>
      <c r="BT7" s="1" t="str">
        <f t="shared" ref="BT7:BT18" si="61">IF(AV7&gt;15, "", IF(X7=0, "", X7))</f>
        <v/>
      </c>
      <c r="BU7" s="1" t="str">
        <f t="shared" ref="BU7:BU18" si="62">IF(AW7&gt;15, "", IF(Y7=0, "", Y7))</f>
        <v/>
      </c>
      <c r="BV7" s="1" t="str">
        <f t="shared" ref="BV7:BV18" si="63">IF(AX7&gt;15, "", IF(Z7=0, "", Z7))</f>
        <v/>
      </c>
      <c r="BZ7" s="1">
        <f>BE7</f>
        <v>42</v>
      </c>
      <c r="CA7" s="1">
        <f>BH7</f>
        <v>341</v>
      </c>
      <c r="CB7" s="1">
        <f>BI7</f>
        <v>126</v>
      </c>
      <c r="CC7" s="1">
        <f>BJ7</f>
        <v>133</v>
      </c>
      <c r="CD7" s="1">
        <f t="shared" ref="CD7:CI7" si="64">BL7</f>
        <v>141</v>
      </c>
      <c r="CE7" s="1">
        <f t="shared" si="64"/>
        <v>151</v>
      </c>
      <c r="CF7" s="1">
        <f t="shared" si="64"/>
        <v>444</v>
      </c>
      <c r="CG7" s="1">
        <f t="shared" si="64"/>
        <v>365</v>
      </c>
      <c r="CH7" s="1">
        <f t="shared" si="64"/>
        <v>371</v>
      </c>
      <c r="CI7" s="1">
        <f t="shared" si="64"/>
        <v>134</v>
      </c>
      <c r="CJ7" s="1">
        <f>BS7</f>
        <v>179</v>
      </c>
      <c r="CK7" s="1">
        <f>BR7</f>
        <v>-62</v>
      </c>
      <c r="CO7" s="1" t="str">
        <f t="shared" ref="CO7:CO18" si="65">B7</f>
        <v>Lendl</v>
      </c>
      <c r="CP7" s="4">
        <f>BZ7+$DG7</f>
        <v>53.162217922013888</v>
      </c>
      <c r="CQ7" s="4">
        <f t="shared" ref="CQ7:CQ18" si="66">CA7+$DG7</f>
        <v>352.16221792201389</v>
      </c>
      <c r="CR7" s="4">
        <f t="shared" ref="CR7:CR18" si="67">CB7+$DG7</f>
        <v>137.16221792201389</v>
      </c>
      <c r="CS7" s="4">
        <f t="shared" ref="CS7:CS18" si="68">CC7+$DG7</f>
        <v>144.16221792201389</v>
      </c>
      <c r="CT7" s="4">
        <f t="shared" ref="CT7:CT18" si="69">CD7+$DG7</f>
        <v>152.16221792201389</v>
      </c>
      <c r="CU7" s="4">
        <f t="shared" ref="CU7:CU18" si="70">CE7+$DG7</f>
        <v>162.16221792201389</v>
      </c>
      <c r="CV7" s="4">
        <f t="shared" ref="CV7:CV18" si="71">CF7+$DG7</f>
        <v>455.16221792201389</v>
      </c>
      <c r="CW7" s="4">
        <f t="shared" ref="CW7:CW18" si="72">CG7+$DG7</f>
        <v>376.16221792201389</v>
      </c>
      <c r="CX7" s="4">
        <f t="shared" ref="CX7:CX18" si="73">CH7+$DG7</f>
        <v>382.16221792201389</v>
      </c>
      <c r="CY7" s="4">
        <f t="shared" ref="CY7:CZ18" si="74">CI7+$DG7</f>
        <v>145.16221792201389</v>
      </c>
      <c r="CZ7" s="4">
        <f t="shared" ref="CZ7:DA10" si="75">CJ7+$DG7</f>
        <v>190.16221792201389</v>
      </c>
      <c r="DA7" s="4">
        <f t="shared" si="75"/>
        <v>-50.837782077986112</v>
      </c>
      <c r="DB7" s="4"/>
      <c r="DC7" s="4"/>
      <c r="DD7" s="4"/>
      <c r="DE7" s="1">
        <f>VLOOKUP(B7,[1]Ranking!$C$3:$BM$19, 34, FALSE)</f>
        <v>57</v>
      </c>
      <c r="DF7" s="4">
        <f>VLOOKUP(B7,[1]Ranking!$C$3:$BM$19, 63, FALSE)</f>
        <v>636.2464215547916</v>
      </c>
      <c r="DG7" s="4">
        <f t="shared" ref="DG7:DG18" si="76">DF7/DE7</f>
        <v>11.162217922013888</v>
      </c>
    </row>
    <row r="8" spans="1:111" x14ac:dyDescent="0.3">
      <c r="A8" s="1">
        <v>6</v>
      </c>
      <c r="B8" s="1" t="str">
        <f>VLOOKUP(A8,[1]Ranking!$W$3:$AA$19, 5, FALSE)</f>
        <v>Murray</v>
      </c>
      <c r="D8" s="3">
        <f t="shared" ca="1" si="20"/>
        <v>0.27011496929340284</v>
      </c>
      <c r="E8" s="1">
        <f t="shared" ca="1" si="21"/>
        <v>10</v>
      </c>
      <c r="F8" s="1" t="str">
        <f t="shared" ref="F8:F18" si="77">B8</f>
        <v>Murray</v>
      </c>
      <c r="G8" s="1">
        <f>VLOOKUP($B8,[1]Data!$C$3:$Z$86,G$1, FALSE)</f>
        <v>0</v>
      </c>
      <c r="H8" s="1">
        <f>VLOOKUP($B8,[1]Data!$C$3:$Z$86,H$1, FALSE)</f>
        <v>-51</v>
      </c>
      <c r="I8" s="1">
        <f>VLOOKUP($B8,[1]Data!$C$3:$Z$86,I$1, FALSE)</f>
        <v>170</v>
      </c>
      <c r="J8" s="1">
        <f>VLOOKUP($B8,[1]Data!$C$3:$Z$86,J$1, FALSE)</f>
        <v>-38</v>
      </c>
      <c r="K8" s="1">
        <f>VLOOKUP($B8,[1]Data!$C$3:$Z$86,K$1, FALSE)</f>
        <v>105</v>
      </c>
      <c r="L8" s="1">
        <f>VLOOKUP($B8,[1]Data!$C$3:$Z$86,L$1, FALSE)</f>
        <v>360</v>
      </c>
      <c r="M8" s="1">
        <f>VLOOKUP($B8,[1]Data!$C$3:$Z$86,M$1, FALSE)</f>
        <v>353</v>
      </c>
      <c r="N8" s="1">
        <f>VLOOKUP($B8,[1]Data!$C$3:$Z$86,N$1, FALSE)</f>
        <v>181</v>
      </c>
      <c r="O8" s="1">
        <f>VLOOKUP($B8,[1]Data!$C$3:$Z$86,O$1, FALSE)</f>
        <v>326</v>
      </c>
      <c r="P8" s="1">
        <f>VLOOKUP($B8,[1]Data!$C$3:$Z$86,P$1, FALSE)</f>
        <v>81</v>
      </c>
      <c r="Q8" s="1">
        <f>VLOOKUP($B8,[1]Data!$C$3:$Z$86,Q$1, FALSE)</f>
        <v>324</v>
      </c>
      <c r="R8" s="1">
        <f>VLOOKUP($B8,[1]Data!$C$3:$Z$86,R$1, FALSE)</f>
        <v>410</v>
      </c>
      <c r="S8" s="1">
        <f>VLOOKUP($B8,[1]Data!$C$3:$Z$86,S$1, FALSE)</f>
        <v>25</v>
      </c>
      <c r="T8" s="1">
        <f>VLOOKUP($B8,[1]Data!$C$3:$Z$86,T$1, FALSE)</f>
        <v>0</v>
      </c>
      <c r="U8" s="1">
        <f>VLOOKUP($B8,[1]Data!$C$3:$Z$86,U$1, FALSE)</f>
        <v>0</v>
      </c>
      <c r="V8" s="1">
        <f>VLOOKUP($B8,[1]Data!$C$3:$Z$86,V$1, FALSE)</f>
        <v>0</v>
      </c>
      <c r="W8" s="1">
        <f>VLOOKUP($B8,[1]Data!$C$3:$Z$86,W$1, FALSE)</f>
        <v>0</v>
      </c>
      <c r="X8" s="1">
        <f>VLOOKUP($B8,[1]Data!$C$3:$Z$86,X$1, FALSE)</f>
        <v>0</v>
      </c>
      <c r="Y8" s="1">
        <f>VLOOKUP($B8,[1]Data!$C$3:$Z$86,Y$1, FALSE)</f>
        <v>0</v>
      </c>
      <c r="Z8" s="1">
        <f>VLOOKUP($B8,[1]Data!$C$3:$Z$86,Z$1, FALSE)</f>
        <v>0</v>
      </c>
      <c r="AA8" s="1">
        <f>VLOOKUP($B8,[1]Data!$C$3:$Z$86,AA$1, FALSE)</f>
        <v>0</v>
      </c>
      <c r="AB8" s="1">
        <f>VLOOKUP($B8,[1]Data!$C$3:$Z$86,AB$1, FALSE)</f>
        <v>0</v>
      </c>
      <c r="AC8" s="1">
        <f>VLOOKUP($B8,[1]Data!$C$3:$Z$86,AC$1, FALSE)</f>
        <v>0</v>
      </c>
      <c r="AE8" s="1">
        <f t="shared" si="22"/>
        <v>11</v>
      </c>
      <c r="AF8" s="1">
        <f t="shared" si="23"/>
        <v>23</v>
      </c>
      <c r="AG8" s="1">
        <f t="shared" si="24"/>
        <v>7</v>
      </c>
      <c r="AH8" s="1">
        <f t="shared" si="25"/>
        <v>22</v>
      </c>
      <c r="AI8" s="1">
        <f t="shared" si="26"/>
        <v>8</v>
      </c>
      <c r="AJ8" s="1">
        <f t="shared" si="27"/>
        <v>2</v>
      </c>
      <c r="AK8" s="1">
        <f t="shared" si="28"/>
        <v>3</v>
      </c>
      <c r="AL8" s="1">
        <f t="shared" si="29"/>
        <v>6</v>
      </c>
      <c r="AM8" s="1">
        <f t="shared" si="30"/>
        <v>4</v>
      </c>
      <c r="AN8" s="1">
        <f t="shared" si="31"/>
        <v>9</v>
      </c>
      <c r="AO8" s="1">
        <f t="shared" si="32"/>
        <v>5</v>
      </c>
      <c r="AP8" s="1">
        <f t="shared" si="33"/>
        <v>1</v>
      </c>
      <c r="AQ8" s="1">
        <f t="shared" si="34"/>
        <v>10</v>
      </c>
      <c r="AR8" s="1">
        <f t="shared" si="35"/>
        <v>11</v>
      </c>
      <c r="AS8" s="1">
        <f t="shared" si="36"/>
        <v>11</v>
      </c>
      <c r="AT8" s="1">
        <f t="shared" si="37"/>
        <v>11</v>
      </c>
      <c r="AU8" s="1">
        <f t="shared" si="38"/>
        <v>11</v>
      </c>
      <c r="AV8" s="1">
        <f t="shared" si="39"/>
        <v>11</v>
      </c>
      <c r="AW8" s="1">
        <f t="shared" si="40"/>
        <v>11</v>
      </c>
      <c r="AX8" s="1">
        <f t="shared" si="41"/>
        <v>11</v>
      </c>
      <c r="AY8" s="1">
        <f t="shared" si="42"/>
        <v>11</v>
      </c>
      <c r="AZ8" s="1">
        <f t="shared" si="43"/>
        <v>11</v>
      </c>
      <c r="BA8" s="1">
        <f t="shared" si="44"/>
        <v>11</v>
      </c>
      <c r="BC8" s="1" t="str">
        <f t="shared" si="45"/>
        <v/>
      </c>
      <c r="BD8" s="1">
        <f>H8</f>
        <v>-51</v>
      </c>
      <c r="BE8" s="1">
        <f t="shared" si="47"/>
        <v>170</v>
      </c>
      <c r="BF8" s="1">
        <f>J8</f>
        <v>-38</v>
      </c>
      <c r="BG8" s="1">
        <f t="shared" si="49"/>
        <v>105</v>
      </c>
      <c r="BH8" s="1">
        <f t="shared" si="50"/>
        <v>360</v>
      </c>
      <c r="BI8" s="1">
        <f t="shared" si="51"/>
        <v>353</v>
      </c>
      <c r="BJ8" s="1">
        <f t="shared" si="52"/>
        <v>181</v>
      </c>
      <c r="BK8" s="1">
        <f t="shared" si="53"/>
        <v>326</v>
      </c>
      <c r="BL8" s="1">
        <f t="shared" si="54"/>
        <v>81</v>
      </c>
      <c r="BM8" s="1">
        <f t="shared" si="55"/>
        <v>324</v>
      </c>
      <c r="BN8" s="1">
        <f t="shared" si="56"/>
        <v>410</v>
      </c>
      <c r="BO8" s="1">
        <f t="shared" si="57"/>
        <v>25</v>
      </c>
      <c r="BP8" s="1" t="str">
        <f t="shared" si="58"/>
        <v/>
      </c>
      <c r="BQ8" s="1" t="str">
        <f t="shared" si="59"/>
        <v/>
      </c>
      <c r="BR8" s="1" t="str">
        <f t="shared" ref="BR8:BR18" si="78">IF(AT8&gt;15, "", IF(V8=0, "", V8))</f>
        <v/>
      </c>
      <c r="BS8" s="1" t="str">
        <f t="shared" si="60"/>
        <v/>
      </c>
      <c r="BT8" s="1" t="str">
        <f t="shared" si="61"/>
        <v/>
      </c>
      <c r="BU8" s="1" t="str">
        <f t="shared" si="62"/>
        <v/>
      </c>
      <c r="BV8" s="1" t="str">
        <f t="shared" si="63"/>
        <v/>
      </c>
      <c r="BZ8" s="1">
        <f>BE8</f>
        <v>170</v>
      </c>
      <c r="CA8" s="1">
        <f t="shared" ref="CA8:CI8" si="79">BG8</f>
        <v>105</v>
      </c>
      <c r="CB8" s="1">
        <f t="shared" si="79"/>
        <v>360</v>
      </c>
      <c r="CC8" s="1">
        <f t="shared" si="79"/>
        <v>353</v>
      </c>
      <c r="CD8" s="1">
        <f t="shared" si="79"/>
        <v>181</v>
      </c>
      <c r="CE8" s="1">
        <f t="shared" si="79"/>
        <v>326</v>
      </c>
      <c r="CF8" s="1">
        <f t="shared" si="79"/>
        <v>81</v>
      </c>
      <c r="CG8" s="1">
        <f t="shared" si="79"/>
        <v>324</v>
      </c>
      <c r="CH8" s="1">
        <f t="shared" si="79"/>
        <v>410</v>
      </c>
      <c r="CI8" s="1">
        <f t="shared" si="79"/>
        <v>25</v>
      </c>
      <c r="CJ8" s="1">
        <f>BD8</f>
        <v>-51</v>
      </c>
      <c r="CK8" s="1">
        <f>BF8</f>
        <v>-38</v>
      </c>
      <c r="CO8" s="1" t="str">
        <f t="shared" si="65"/>
        <v>Murray</v>
      </c>
      <c r="CP8" s="4">
        <f>BZ8+$DG8</f>
        <v>162.22788275536357</v>
      </c>
      <c r="CQ8" s="4">
        <f t="shared" si="66"/>
        <v>97.227882755363567</v>
      </c>
      <c r="CR8" s="4">
        <f t="shared" si="67"/>
        <v>352.22788275536357</v>
      </c>
      <c r="CS8" s="4">
        <f t="shared" si="68"/>
        <v>345.22788275536357</v>
      </c>
      <c r="CT8" s="4">
        <f t="shared" si="69"/>
        <v>173.22788275536357</v>
      </c>
      <c r="CU8" s="4">
        <f t="shared" si="70"/>
        <v>318.22788275536357</v>
      </c>
      <c r="CV8" s="4">
        <f t="shared" si="71"/>
        <v>73.227882755363567</v>
      </c>
      <c r="CW8" s="4">
        <f t="shared" si="72"/>
        <v>316.22788275536357</v>
      </c>
      <c r="CX8" s="4">
        <f t="shared" si="73"/>
        <v>402.22788275536357</v>
      </c>
      <c r="CY8" s="4">
        <f t="shared" si="74"/>
        <v>17.227882755363559</v>
      </c>
      <c r="CZ8" s="4">
        <f t="shared" si="75"/>
        <v>-58.772117244636441</v>
      </c>
      <c r="DA8" s="4">
        <f t="shared" si="75"/>
        <v>-45.772117244636441</v>
      </c>
      <c r="DB8" s="4"/>
      <c r="DC8" s="4"/>
      <c r="DD8" s="4"/>
      <c r="DE8" s="1">
        <f>VLOOKUP(B8,[1]Ranking!$C$3:$BM$19, 34, FALSE)</f>
        <v>46</v>
      </c>
      <c r="DF8" s="4">
        <f>VLOOKUP(B8,[1]Ranking!$C$3:$BM$19, 63, FALSE)</f>
        <v>-357.51739325327617</v>
      </c>
      <c r="DG8" s="4">
        <f t="shared" si="76"/>
        <v>-7.7721172446364388</v>
      </c>
    </row>
    <row r="9" spans="1:111" x14ac:dyDescent="0.3">
      <c r="A9" s="1">
        <v>7</v>
      </c>
      <c r="B9" s="1" t="str">
        <f>VLOOKUP(A9,[1]Ranking!$W$3:$AA$19, 5, FALSE)</f>
        <v>Edberg</v>
      </c>
      <c r="D9" s="3">
        <f t="shared" ca="1" si="20"/>
        <v>0.89261227627765394</v>
      </c>
      <c r="E9" s="1">
        <f t="shared" ca="1" si="21"/>
        <v>2</v>
      </c>
      <c r="F9" s="1" t="str">
        <f t="shared" si="77"/>
        <v>Edberg</v>
      </c>
      <c r="G9" s="1">
        <f>VLOOKUP($B9,[1]Data!$C$3:$Z$86,G$1, FALSE)</f>
        <v>-97</v>
      </c>
      <c r="H9" s="1">
        <f>VLOOKUP($B9,[1]Data!$C$3:$Z$86,H$1, FALSE)</f>
        <v>47</v>
      </c>
      <c r="I9" s="1">
        <f>VLOOKUP($B9,[1]Data!$C$3:$Z$86,I$1, FALSE)</f>
        <v>376</v>
      </c>
      <c r="J9" s="1">
        <f>VLOOKUP($B9,[1]Data!$C$3:$Z$86,J$1, FALSE)</f>
        <v>0</v>
      </c>
      <c r="K9" s="1">
        <f>VLOOKUP($B9,[1]Data!$C$3:$Z$86,K$1, FALSE)</f>
        <v>352</v>
      </c>
      <c r="L9" s="1">
        <f>VLOOKUP($B9,[1]Data!$C$3:$Z$86,L$1, FALSE)</f>
        <v>135</v>
      </c>
      <c r="M9" s="1">
        <f>VLOOKUP($B9,[1]Data!$C$3:$Z$86,M$1, FALSE)</f>
        <v>148</v>
      </c>
      <c r="N9" s="1">
        <f>VLOOKUP($B9,[1]Data!$C$3:$Z$86,N$1, FALSE)</f>
        <v>286</v>
      </c>
      <c r="O9" s="1">
        <f>VLOOKUP($B9,[1]Data!$C$3:$Z$86,O$1, FALSE)</f>
        <v>142</v>
      </c>
      <c r="P9" s="1">
        <f>VLOOKUP($B9,[1]Data!$C$3:$Z$86,P$1, FALSE)</f>
        <v>247</v>
      </c>
      <c r="Q9" s="1">
        <f>VLOOKUP($B9,[1]Data!$C$3:$Z$86,Q$1, FALSE)</f>
        <v>322</v>
      </c>
      <c r="R9" s="1">
        <f>VLOOKUP($B9,[1]Data!$C$3:$Z$86,R$1, FALSE)</f>
        <v>248</v>
      </c>
      <c r="S9" s="1">
        <f>VLOOKUP($B9,[1]Data!$C$3:$Z$86,S$1, FALSE)</f>
        <v>-4</v>
      </c>
      <c r="T9" s="1">
        <f>VLOOKUP($B9,[1]Data!$C$3:$Z$86,T$1, FALSE)</f>
        <v>-35</v>
      </c>
      <c r="U9" s="1">
        <f>VLOOKUP($B9,[1]Data!$C$3:$Z$86,U$1, FALSE)</f>
        <v>0</v>
      </c>
      <c r="V9" s="1">
        <f>VLOOKUP($B9,[1]Data!$C$3:$Z$86,V$1, FALSE)</f>
        <v>0</v>
      </c>
      <c r="W9" s="1">
        <f>VLOOKUP($B9,[1]Data!$C$3:$Z$86,W$1, FALSE)</f>
        <v>0</v>
      </c>
      <c r="X9" s="1">
        <f>VLOOKUP($B9,[1]Data!$C$3:$Z$86,X$1, FALSE)</f>
        <v>0</v>
      </c>
      <c r="Y9" s="1">
        <f>VLOOKUP($B9,[1]Data!$C$3:$Z$86,Y$1, FALSE)</f>
        <v>0</v>
      </c>
      <c r="Z9" s="1">
        <f>VLOOKUP($B9,[1]Data!$C$3:$Z$86,Z$1, FALSE)</f>
        <v>0</v>
      </c>
      <c r="AA9" s="1">
        <f>VLOOKUP($B9,[1]Data!$C$3:$Z$86,AA$1, FALSE)</f>
        <v>0</v>
      </c>
      <c r="AB9" s="1">
        <f>VLOOKUP($B9,[1]Data!$C$3:$Z$86,AB$1, FALSE)</f>
        <v>0</v>
      </c>
      <c r="AC9" s="1">
        <f>VLOOKUP($B9,[1]Data!$C$3:$Z$86,AC$1, FALSE)</f>
        <v>0</v>
      </c>
      <c r="AE9" s="1">
        <f t="shared" si="22"/>
        <v>23</v>
      </c>
      <c r="AF9" s="1">
        <f t="shared" si="23"/>
        <v>10</v>
      </c>
      <c r="AG9" s="1">
        <f t="shared" si="24"/>
        <v>1</v>
      </c>
      <c r="AH9" s="1">
        <f t="shared" si="25"/>
        <v>11</v>
      </c>
      <c r="AI9" s="1">
        <f t="shared" si="26"/>
        <v>2</v>
      </c>
      <c r="AJ9" s="1">
        <f t="shared" si="27"/>
        <v>9</v>
      </c>
      <c r="AK9" s="1">
        <f t="shared" si="28"/>
        <v>7</v>
      </c>
      <c r="AL9" s="1">
        <f t="shared" si="29"/>
        <v>4</v>
      </c>
      <c r="AM9" s="1">
        <f t="shared" si="30"/>
        <v>8</v>
      </c>
      <c r="AN9" s="1">
        <f t="shared" si="31"/>
        <v>6</v>
      </c>
      <c r="AO9" s="1">
        <f t="shared" si="32"/>
        <v>3</v>
      </c>
      <c r="AP9" s="1">
        <f t="shared" si="33"/>
        <v>5</v>
      </c>
      <c r="AQ9" s="1">
        <f t="shared" si="34"/>
        <v>21</v>
      </c>
      <c r="AR9" s="1">
        <f t="shared" si="35"/>
        <v>22</v>
      </c>
      <c r="AS9" s="1">
        <f t="shared" si="36"/>
        <v>11</v>
      </c>
      <c r="AT9" s="1">
        <f t="shared" si="37"/>
        <v>11</v>
      </c>
      <c r="AU9" s="1">
        <f t="shared" si="38"/>
        <v>11</v>
      </c>
      <c r="AV9" s="1">
        <f t="shared" si="39"/>
        <v>11</v>
      </c>
      <c r="AW9" s="1">
        <f t="shared" si="40"/>
        <v>11</v>
      </c>
      <c r="AX9" s="1">
        <f t="shared" si="41"/>
        <v>11</v>
      </c>
      <c r="AY9" s="1">
        <f t="shared" si="42"/>
        <v>11</v>
      </c>
      <c r="AZ9" s="1">
        <f t="shared" si="43"/>
        <v>11</v>
      </c>
      <c r="BA9" s="1">
        <f t="shared" si="44"/>
        <v>11</v>
      </c>
      <c r="BC9" s="1">
        <f>G9</f>
        <v>-97</v>
      </c>
      <c r="BD9" s="1">
        <f t="shared" si="46"/>
        <v>47</v>
      </c>
      <c r="BE9" s="1">
        <f t="shared" si="47"/>
        <v>376</v>
      </c>
      <c r="BF9" s="1" t="str">
        <f t="shared" si="48"/>
        <v/>
      </c>
      <c r="BG9" s="1">
        <f t="shared" si="49"/>
        <v>352</v>
      </c>
      <c r="BH9" s="1">
        <f t="shared" si="50"/>
        <v>135</v>
      </c>
      <c r="BI9" s="1">
        <f t="shared" si="51"/>
        <v>148</v>
      </c>
      <c r="BJ9" s="1">
        <f t="shared" si="52"/>
        <v>286</v>
      </c>
      <c r="BK9" s="1">
        <f t="shared" si="53"/>
        <v>142</v>
      </c>
      <c r="BL9" s="1">
        <f t="shared" si="54"/>
        <v>247</v>
      </c>
      <c r="BM9" s="1">
        <f t="shared" si="55"/>
        <v>322</v>
      </c>
      <c r="BN9" s="1">
        <f t="shared" si="56"/>
        <v>248</v>
      </c>
      <c r="BO9" s="1">
        <f>S9</f>
        <v>-4</v>
      </c>
      <c r="BP9" s="2">
        <f>T9</f>
        <v>-35</v>
      </c>
      <c r="BQ9" s="1" t="str">
        <f t="shared" si="59"/>
        <v/>
      </c>
      <c r="BR9" s="1" t="str">
        <f t="shared" si="78"/>
        <v/>
      </c>
      <c r="BS9" s="1" t="str">
        <f t="shared" si="60"/>
        <v/>
      </c>
      <c r="BT9" s="1" t="str">
        <f t="shared" si="61"/>
        <v/>
      </c>
      <c r="BU9" s="1" t="str">
        <f t="shared" si="62"/>
        <v/>
      </c>
      <c r="BV9" s="1" t="str">
        <f t="shared" si="63"/>
        <v/>
      </c>
      <c r="BZ9" s="1">
        <f>BD9</f>
        <v>47</v>
      </c>
      <c r="CA9" s="1">
        <f>BE9</f>
        <v>376</v>
      </c>
      <c r="CB9" s="1">
        <f t="shared" ref="CB9:CI9" si="80">BG9</f>
        <v>352</v>
      </c>
      <c r="CC9" s="1">
        <f t="shared" si="80"/>
        <v>135</v>
      </c>
      <c r="CD9" s="1">
        <f t="shared" si="80"/>
        <v>148</v>
      </c>
      <c r="CE9" s="1">
        <f t="shared" si="80"/>
        <v>286</v>
      </c>
      <c r="CF9" s="1">
        <f t="shared" si="80"/>
        <v>142</v>
      </c>
      <c r="CG9" s="1">
        <f t="shared" si="80"/>
        <v>247</v>
      </c>
      <c r="CH9" s="1">
        <f t="shared" si="80"/>
        <v>322</v>
      </c>
      <c r="CI9" s="1">
        <f t="shared" si="80"/>
        <v>248</v>
      </c>
      <c r="CJ9" s="1">
        <f>BC9</f>
        <v>-97</v>
      </c>
      <c r="CK9" s="1">
        <f>BO9</f>
        <v>-4</v>
      </c>
      <c r="CO9" s="1" t="str">
        <f t="shared" si="65"/>
        <v>Edberg</v>
      </c>
      <c r="CP9" s="4">
        <f t="shared" ref="CP9:CP18" si="81">BZ9+$DG9</f>
        <v>58.16221792201388</v>
      </c>
      <c r="CQ9" s="4">
        <f t="shared" si="66"/>
        <v>387.16221792201389</v>
      </c>
      <c r="CR9" s="4">
        <f t="shared" si="67"/>
        <v>363.16221792201389</v>
      </c>
      <c r="CS9" s="4">
        <f t="shared" si="68"/>
        <v>146.16221792201389</v>
      </c>
      <c r="CT9" s="4">
        <f t="shared" si="69"/>
        <v>159.16221792201389</v>
      </c>
      <c r="CU9" s="4">
        <f t="shared" si="70"/>
        <v>297.16221792201389</v>
      </c>
      <c r="CV9" s="4">
        <f t="shared" si="71"/>
        <v>153.16221792201389</v>
      </c>
      <c r="CW9" s="4">
        <f t="shared" si="72"/>
        <v>258.16221792201389</v>
      </c>
      <c r="CX9" s="4">
        <f t="shared" si="73"/>
        <v>333.16221792201389</v>
      </c>
      <c r="CY9" s="4">
        <f t="shared" si="74"/>
        <v>259.16221792201389</v>
      </c>
      <c r="CZ9" s="4">
        <f t="shared" si="75"/>
        <v>-85.83778207798612</v>
      </c>
      <c r="DA9" s="4">
        <f t="shared" si="75"/>
        <v>7.162217922013884</v>
      </c>
      <c r="DB9" s="4"/>
      <c r="DC9" s="4"/>
      <c r="DD9" s="4"/>
      <c r="DE9" s="1">
        <f>VLOOKUP(B9,[1]Ranking!$C$3:$BM$19, 34, FALSE)</f>
        <v>54</v>
      </c>
      <c r="DF9" s="4">
        <f>VLOOKUP(B9,[1]Ranking!$C$3:$BM$19, 63, FALSE)</f>
        <v>602.75976778874974</v>
      </c>
      <c r="DG9" s="4">
        <f t="shared" si="76"/>
        <v>11.162217922013884</v>
      </c>
    </row>
    <row r="10" spans="1:111" x14ac:dyDescent="0.3">
      <c r="A10" s="1">
        <v>8</v>
      </c>
      <c r="B10" s="1" t="str">
        <f>VLOOKUP(A10,[1]Ranking!$W$3:$AA$19, 5, FALSE)</f>
        <v>Sampras</v>
      </c>
      <c r="D10" s="3">
        <f t="shared" ca="1" si="20"/>
        <v>0.81410503560836855</v>
      </c>
      <c r="E10" s="1">
        <f t="shared" ca="1" si="21"/>
        <v>4</v>
      </c>
      <c r="F10" s="1" t="str">
        <f t="shared" si="77"/>
        <v>Sampras</v>
      </c>
      <c r="G10" s="1">
        <f>VLOOKUP($B10,[1]Data!$C$3:$Z$86,G$1, FALSE)</f>
        <v>0</v>
      </c>
      <c r="H10" s="1">
        <f>VLOOKUP($B10,[1]Data!$C$3:$Z$86,H$1, FALSE)</f>
        <v>-81</v>
      </c>
      <c r="I10" s="1">
        <f>VLOOKUP($B10,[1]Data!$C$3:$Z$86,I$1, FALSE)</f>
        <v>149</v>
      </c>
      <c r="J10" s="1">
        <f>VLOOKUP($B10,[1]Data!$C$3:$Z$86,J$1, FALSE)</f>
        <v>0</v>
      </c>
      <c r="K10" s="1">
        <f>VLOOKUP($B10,[1]Data!$C$3:$Z$86,K$1, FALSE)</f>
        <v>0</v>
      </c>
      <c r="L10" s="1">
        <f>VLOOKUP($B10,[1]Data!$C$3:$Z$86,L$1, FALSE)</f>
        <v>273</v>
      </c>
      <c r="M10" s="1">
        <f>VLOOKUP($B10,[1]Data!$C$3:$Z$86,M$1, FALSE)</f>
        <v>478</v>
      </c>
      <c r="N10" s="1">
        <f>VLOOKUP($B10,[1]Data!$C$3:$Z$86,N$1, FALSE)</f>
        <v>306</v>
      </c>
      <c r="O10" s="1">
        <f>VLOOKUP($B10,[1]Data!$C$3:$Z$86,O$1, FALSE)</f>
        <v>-28</v>
      </c>
      <c r="P10" s="1">
        <f>VLOOKUP($B10,[1]Data!$C$3:$Z$86,P$1, FALSE)</f>
        <v>459</v>
      </c>
      <c r="Q10" s="1">
        <f>VLOOKUP($B10,[1]Data!$C$3:$Z$86,Q$1, FALSE)</f>
        <v>156</v>
      </c>
      <c r="R10" s="1">
        <f>VLOOKUP($B10,[1]Data!$C$3:$Z$86,R$1, FALSE)</f>
        <v>0</v>
      </c>
      <c r="S10" s="1">
        <f>VLOOKUP($B10,[1]Data!$C$3:$Z$86,S$1, FALSE)</f>
        <v>122</v>
      </c>
      <c r="T10" s="1">
        <f>VLOOKUP($B10,[1]Data!$C$3:$Z$86,T$1, FALSE)</f>
        <v>50</v>
      </c>
      <c r="U10" s="1">
        <f>VLOOKUP($B10,[1]Data!$C$3:$Z$86,U$1, FALSE)</f>
        <v>146</v>
      </c>
      <c r="V10" s="1">
        <f>VLOOKUP($B10,[1]Data!$C$3:$Z$86,V$1, FALSE)</f>
        <v>0</v>
      </c>
      <c r="W10" s="1">
        <f>VLOOKUP($B10,[1]Data!$C$3:$Z$86,W$1, FALSE)</f>
        <v>0</v>
      </c>
      <c r="X10" s="1">
        <f>VLOOKUP($B10,[1]Data!$C$3:$Z$86,X$1, FALSE)</f>
        <v>0</v>
      </c>
      <c r="Y10" s="1">
        <f>VLOOKUP($B10,[1]Data!$C$3:$Z$86,Y$1, FALSE)</f>
        <v>0</v>
      </c>
      <c r="Z10" s="1">
        <f>VLOOKUP($B10,[1]Data!$C$3:$Z$86,Z$1, FALSE)</f>
        <v>0</v>
      </c>
      <c r="AA10" s="1">
        <f>VLOOKUP($B10,[1]Data!$C$3:$Z$86,AA$1, FALSE)</f>
        <v>0</v>
      </c>
      <c r="AB10" s="1">
        <f>VLOOKUP($B10,[1]Data!$C$3:$Z$86,AB$1, FALSE)</f>
        <v>0</v>
      </c>
      <c r="AC10" s="1">
        <f>VLOOKUP($B10,[1]Data!$C$3:$Z$86,AC$1, FALSE)</f>
        <v>0</v>
      </c>
      <c r="AE10" s="1">
        <f t="shared" si="22"/>
        <v>10</v>
      </c>
      <c r="AF10" s="1">
        <f t="shared" si="23"/>
        <v>23</v>
      </c>
      <c r="AG10" s="1">
        <f t="shared" si="24"/>
        <v>6</v>
      </c>
      <c r="AH10" s="1">
        <f t="shared" si="25"/>
        <v>10</v>
      </c>
      <c r="AI10" s="1">
        <f t="shared" si="26"/>
        <v>10</v>
      </c>
      <c r="AJ10" s="1">
        <f t="shared" si="27"/>
        <v>4</v>
      </c>
      <c r="AK10" s="1">
        <f t="shared" si="28"/>
        <v>1</v>
      </c>
      <c r="AL10" s="1">
        <f t="shared" si="29"/>
        <v>3</v>
      </c>
      <c r="AM10" s="1">
        <f t="shared" si="30"/>
        <v>22</v>
      </c>
      <c r="AN10" s="1">
        <f t="shared" si="31"/>
        <v>2</v>
      </c>
      <c r="AO10" s="1">
        <f t="shared" si="32"/>
        <v>5</v>
      </c>
      <c r="AP10" s="1">
        <f t="shared" si="33"/>
        <v>10</v>
      </c>
      <c r="AQ10" s="1">
        <f t="shared" si="34"/>
        <v>8</v>
      </c>
      <c r="AR10" s="1">
        <f t="shared" si="35"/>
        <v>9</v>
      </c>
      <c r="AS10" s="1">
        <f t="shared" si="36"/>
        <v>7</v>
      </c>
      <c r="AT10" s="1">
        <f t="shared" si="37"/>
        <v>10</v>
      </c>
      <c r="AU10" s="1">
        <f t="shared" si="38"/>
        <v>10</v>
      </c>
      <c r="AV10" s="1">
        <f t="shared" si="39"/>
        <v>10</v>
      </c>
      <c r="AW10" s="1">
        <f t="shared" si="40"/>
        <v>10</v>
      </c>
      <c r="AX10" s="1">
        <f t="shared" si="41"/>
        <v>10</v>
      </c>
      <c r="AY10" s="1">
        <f t="shared" si="42"/>
        <v>10</v>
      </c>
      <c r="AZ10" s="1">
        <f t="shared" si="43"/>
        <v>10</v>
      </c>
      <c r="BA10" s="1">
        <f t="shared" si="44"/>
        <v>10</v>
      </c>
      <c r="BC10" s="1" t="str">
        <f t="shared" si="45"/>
        <v/>
      </c>
      <c r="BD10" s="1">
        <f>H10</f>
        <v>-81</v>
      </c>
      <c r="BE10" s="1">
        <f t="shared" si="47"/>
        <v>149</v>
      </c>
      <c r="BF10" s="1" t="str">
        <f t="shared" si="48"/>
        <v/>
      </c>
      <c r="BG10" s="1" t="str">
        <f t="shared" si="49"/>
        <v/>
      </c>
      <c r="BH10" s="1">
        <f t="shared" si="50"/>
        <v>273</v>
      </c>
      <c r="BI10" s="1">
        <f t="shared" si="51"/>
        <v>478</v>
      </c>
      <c r="BJ10" s="1">
        <f t="shared" si="52"/>
        <v>306</v>
      </c>
      <c r="BK10" s="1">
        <f>O10</f>
        <v>-28</v>
      </c>
      <c r="BL10" s="1">
        <f t="shared" si="54"/>
        <v>459</v>
      </c>
      <c r="BM10" s="1">
        <f t="shared" si="55"/>
        <v>156</v>
      </c>
      <c r="BN10" s="1" t="str">
        <f t="shared" si="56"/>
        <v/>
      </c>
      <c r="BO10" s="1">
        <f t="shared" si="57"/>
        <v>122</v>
      </c>
      <c r="BP10" s="1">
        <f t="shared" si="58"/>
        <v>50</v>
      </c>
      <c r="BQ10" s="1">
        <f t="shared" si="59"/>
        <v>146</v>
      </c>
      <c r="BR10" s="1" t="str">
        <f t="shared" si="78"/>
        <v/>
      </c>
      <c r="BS10" s="1" t="str">
        <f t="shared" si="60"/>
        <v/>
      </c>
      <c r="BT10" s="1" t="str">
        <f t="shared" si="61"/>
        <v/>
      </c>
      <c r="BU10" s="1" t="str">
        <f t="shared" si="62"/>
        <v/>
      </c>
      <c r="BV10" s="1" t="str">
        <f t="shared" si="63"/>
        <v/>
      </c>
      <c r="BZ10" s="1">
        <f>BE10</f>
        <v>149</v>
      </c>
      <c r="CA10" s="1">
        <f>BH10</f>
        <v>273</v>
      </c>
      <c r="CB10" s="1">
        <f>BI10</f>
        <v>478</v>
      </c>
      <c r="CC10" s="1">
        <f>BJ10</f>
        <v>306</v>
      </c>
      <c r="CD10" s="1">
        <f>BL10</f>
        <v>459</v>
      </c>
      <c r="CE10" s="1">
        <f>BM10</f>
        <v>156</v>
      </c>
      <c r="CF10" s="1">
        <f>BO10</f>
        <v>122</v>
      </c>
      <c r="CG10" s="1">
        <f>BP10</f>
        <v>50</v>
      </c>
      <c r="CH10" s="1">
        <f>BQ10</f>
        <v>146</v>
      </c>
      <c r="CI10" s="1">
        <f>BK10</f>
        <v>-28</v>
      </c>
      <c r="CJ10" s="1">
        <f>BD10</f>
        <v>-81</v>
      </c>
      <c r="CO10" s="1" t="str">
        <f t="shared" si="65"/>
        <v>Sampras</v>
      </c>
      <c r="CP10" s="4">
        <f t="shared" si="81"/>
        <v>157.97748694124655</v>
      </c>
      <c r="CQ10" s="4">
        <f t="shared" si="66"/>
        <v>281.97748694124653</v>
      </c>
      <c r="CR10" s="4">
        <f t="shared" si="67"/>
        <v>486.97748694124653</v>
      </c>
      <c r="CS10" s="4">
        <f t="shared" si="68"/>
        <v>314.97748694124653</v>
      </c>
      <c r="CT10" s="4">
        <f t="shared" si="69"/>
        <v>467.97748694124653</v>
      </c>
      <c r="CU10" s="4">
        <f t="shared" si="70"/>
        <v>164.97748694124655</v>
      </c>
      <c r="CV10" s="4">
        <f t="shared" si="71"/>
        <v>130.97748694124655</v>
      </c>
      <c r="CW10" s="4">
        <f t="shared" si="72"/>
        <v>58.977486941246539</v>
      </c>
      <c r="CX10" s="4">
        <f t="shared" si="73"/>
        <v>154.97748694124655</v>
      </c>
      <c r="CY10" s="4">
        <f t="shared" si="74"/>
        <v>-19.022513058753457</v>
      </c>
      <c r="CZ10" s="4">
        <f t="shared" si="75"/>
        <v>-72.022513058753461</v>
      </c>
      <c r="DA10" s="4"/>
      <c r="DB10" s="4"/>
      <c r="DC10" s="4"/>
      <c r="DD10" s="4"/>
      <c r="DE10" s="1">
        <f>VLOOKUP(B10,[1]Ranking!$C$3:$BM$19, 34, FALSE)</f>
        <v>52</v>
      </c>
      <c r="DF10" s="4">
        <f>VLOOKUP(B10,[1]Ranking!$C$3:$BM$19, 63, FALSE)</f>
        <v>466.82932094482021</v>
      </c>
      <c r="DG10" s="4">
        <f t="shared" si="76"/>
        <v>8.9774869412465428</v>
      </c>
    </row>
    <row r="11" spans="1:111" x14ac:dyDescent="0.3">
      <c r="A11" s="1">
        <v>9</v>
      </c>
      <c r="B11" s="1" t="str">
        <f>VLOOKUP(A11,[1]Ranking!$W$3:$AA$19, 5, FALSE)</f>
        <v>Wilander</v>
      </c>
      <c r="D11" s="3">
        <f t="shared" ca="1" si="20"/>
        <v>0.4639738251742187</v>
      </c>
      <c r="E11" s="1">
        <f t="shared" ca="1" si="21"/>
        <v>9</v>
      </c>
      <c r="F11" s="1" t="str">
        <f t="shared" si="77"/>
        <v>Wilander</v>
      </c>
      <c r="G11" s="1">
        <f>VLOOKUP($B11,[1]Data!$C$3:$Z$86,G$1, FALSE)</f>
        <v>-99</v>
      </c>
      <c r="H11" s="1">
        <f>VLOOKUP($B11,[1]Data!$C$3:$Z$86,H$1, FALSE)</f>
        <v>0</v>
      </c>
      <c r="I11" s="1">
        <f>VLOOKUP($B11,[1]Data!$C$3:$Z$86,I$1, FALSE)</f>
        <v>504</v>
      </c>
      <c r="J11" s="1">
        <f>VLOOKUP($B11,[1]Data!$C$3:$Z$86,J$1, FALSE)</f>
        <v>336</v>
      </c>
      <c r="K11" s="1">
        <f>VLOOKUP($B11,[1]Data!$C$3:$Z$86,K$1, FALSE)</f>
        <v>243</v>
      </c>
      <c r="L11" s="1">
        <f>VLOOKUP($B11,[1]Data!$C$3:$Z$86,L$1, FALSE)</f>
        <v>0</v>
      </c>
      <c r="M11" s="1">
        <f>VLOOKUP($B11,[1]Data!$C$3:$Z$86,M$1, FALSE)</f>
        <v>0</v>
      </c>
      <c r="N11" s="1">
        <f>VLOOKUP($B11,[1]Data!$C$3:$Z$86,N$1, FALSE)</f>
        <v>420</v>
      </c>
      <c r="O11" s="1">
        <f>VLOOKUP($B11,[1]Data!$C$3:$Z$86,O$1, FALSE)</f>
        <v>-50</v>
      </c>
      <c r="P11" s="1">
        <f>VLOOKUP($B11,[1]Data!$C$3:$Z$86,P$1, FALSE)</f>
        <v>193</v>
      </c>
      <c r="Q11" s="1">
        <f>VLOOKUP($B11,[1]Data!$C$3:$Z$86,Q$1, FALSE)</f>
        <v>9</v>
      </c>
      <c r="R11" s="1">
        <f>VLOOKUP($B11,[1]Data!$C$3:$Z$86,R$1, FALSE)</f>
        <v>0</v>
      </c>
      <c r="S11" s="1">
        <f>VLOOKUP($B11,[1]Data!$C$3:$Z$86,S$1, FALSE)</f>
        <v>0</v>
      </c>
      <c r="T11" s="1">
        <f>VLOOKUP($B11,[1]Data!$C$3:$Z$86,T$1, FALSE)</f>
        <v>-23</v>
      </c>
      <c r="U11" s="1">
        <f>VLOOKUP($B11,[1]Data!$C$3:$Z$86,U$1, FALSE)</f>
        <v>-24</v>
      </c>
      <c r="V11" s="1">
        <f>VLOOKUP($B11,[1]Data!$C$3:$Z$86,V$1, FALSE)</f>
        <v>0</v>
      </c>
      <c r="W11" s="1">
        <f>VLOOKUP($B11,[1]Data!$C$3:$Z$86,W$1, FALSE)</f>
        <v>0</v>
      </c>
      <c r="X11" s="1">
        <f>VLOOKUP($B11,[1]Data!$C$3:$Z$86,X$1, FALSE)</f>
        <v>0</v>
      </c>
      <c r="Y11" s="1">
        <f>VLOOKUP($B11,[1]Data!$C$3:$Z$86,Y$1, FALSE)</f>
        <v>0</v>
      </c>
      <c r="Z11" s="1">
        <f>VLOOKUP($B11,[1]Data!$C$3:$Z$86,Z$1, FALSE)</f>
        <v>0</v>
      </c>
      <c r="AA11" s="1">
        <f>VLOOKUP($B11,[1]Data!$C$3:$Z$86,AA$1, FALSE)</f>
        <v>0</v>
      </c>
      <c r="AB11" s="1">
        <f>VLOOKUP($B11,[1]Data!$C$3:$Z$86,AB$1, FALSE)</f>
        <v>0</v>
      </c>
      <c r="AC11" s="1">
        <f>VLOOKUP($B11,[1]Data!$C$3:$Z$86,AC$1, FALSE)</f>
        <v>0</v>
      </c>
      <c r="AE11" s="1">
        <f t="shared" si="22"/>
        <v>23</v>
      </c>
      <c r="AF11" s="1">
        <f t="shared" si="23"/>
        <v>7</v>
      </c>
      <c r="AG11" s="1">
        <f t="shared" si="24"/>
        <v>1</v>
      </c>
      <c r="AH11" s="1">
        <f t="shared" si="25"/>
        <v>3</v>
      </c>
      <c r="AI11" s="1">
        <f t="shared" si="26"/>
        <v>4</v>
      </c>
      <c r="AJ11" s="1">
        <f t="shared" si="27"/>
        <v>7</v>
      </c>
      <c r="AK11" s="1">
        <f t="shared" si="28"/>
        <v>7</v>
      </c>
      <c r="AL11" s="1">
        <f t="shared" si="29"/>
        <v>2</v>
      </c>
      <c r="AM11" s="1">
        <f t="shared" si="30"/>
        <v>22</v>
      </c>
      <c r="AN11" s="1">
        <f t="shared" si="31"/>
        <v>5</v>
      </c>
      <c r="AO11" s="1">
        <f t="shared" si="32"/>
        <v>6</v>
      </c>
      <c r="AP11" s="1">
        <f t="shared" si="33"/>
        <v>7</v>
      </c>
      <c r="AQ11" s="1">
        <f t="shared" si="34"/>
        <v>7</v>
      </c>
      <c r="AR11" s="1">
        <f t="shared" si="35"/>
        <v>20</v>
      </c>
      <c r="AS11" s="1">
        <f t="shared" si="36"/>
        <v>21</v>
      </c>
      <c r="AT11" s="1">
        <f t="shared" si="37"/>
        <v>7</v>
      </c>
      <c r="AU11" s="1">
        <f t="shared" si="38"/>
        <v>7</v>
      </c>
      <c r="AV11" s="1">
        <f t="shared" si="39"/>
        <v>7</v>
      </c>
      <c r="AW11" s="1">
        <f t="shared" si="40"/>
        <v>7</v>
      </c>
      <c r="AX11" s="1">
        <f t="shared" si="41"/>
        <v>7</v>
      </c>
      <c r="AY11" s="1">
        <f t="shared" si="42"/>
        <v>7</v>
      </c>
      <c r="AZ11" s="1">
        <f t="shared" si="43"/>
        <v>7</v>
      </c>
      <c r="BA11" s="1">
        <f t="shared" si="44"/>
        <v>7</v>
      </c>
      <c r="BC11" s="1">
        <f>G11</f>
        <v>-99</v>
      </c>
      <c r="BD11" s="1" t="str">
        <f t="shared" si="46"/>
        <v/>
      </c>
      <c r="BE11" s="1">
        <f t="shared" si="47"/>
        <v>504</v>
      </c>
      <c r="BF11" s="1">
        <f t="shared" si="48"/>
        <v>336</v>
      </c>
      <c r="BG11" s="1">
        <f t="shared" si="49"/>
        <v>243</v>
      </c>
      <c r="BH11" s="1" t="str">
        <f t="shared" si="50"/>
        <v/>
      </c>
      <c r="BI11" s="1" t="str">
        <f t="shared" si="51"/>
        <v/>
      </c>
      <c r="BJ11" s="1">
        <f t="shared" si="52"/>
        <v>420</v>
      </c>
      <c r="BK11" s="1">
        <f>O11</f>
        <v>-50</v>
      </c>
      <c r="BL11" s="1">
        <f t="shared" si="54"/>
        <v>193</v>
      </c>
      <c r="BM11" s="1">
        <f t="shared" si="55"/>
        <v>9</v>
      </c>
      <c r="BN11" s="1" t="str">
        <f t="shared" si="56"/>
        <v/>
      </c>
      <c r="BO11" s="1" t="str">
        <f t="shared" si="57"/>
        <v/>
      </c>
      <c r="BP11" s="1">
        <f>T11</f>
        <v>-23</v>
      </c>
      <c r="BQ11" s="2">
        <f>U11</f>
        <v>-24</v>
      </c>
      <c r="BR11" s="1" t="str">
        <f t="shared" si="78"/>
        <v/>
      </c>
      <c r="BS11" s="1" t="str">
        <f t="shared" si="60"/>
        <v/>
      </c>
      <c r="BT11" s="1" t="str">
        <f t="shared" si="61"/>
        <v/>
      </c>
      <c r="BU11" s="1" t="str">
        <f t="shared" si="62"/>
        <v/>
      </c>
      <c r="BV11" s="1" t="str">
        <f t="shared" si="63"/>
        <v/>
      </c>
      <c r="BZ11" s="1">
        <f>BE11</f>
        <v>504</v>
      </c>
      <c r="CA11" s="1">
        <f>BF11</f>
        <v>336</v>
      </c>
      <c r="CB11" s="1">
        <f>BG11</f>
        <v>243</v>
      </c>
      <c r="CC11" s="1">
        <f>BJ11</f>
        <v>420</v>
      </c>
      <c r="CD11" s="1">
        <f>BL11</f>
        <v>193</v>
      </c>
      <c r="CE11" s="1">
        <f>BM11</f>
        <v>9</v>
      </c>
      <c r="CF11" s="1">
        <f>BC11</f>
        <v>-99</v>
      </c>
      <c r="CG11" s="1">
        <f>BK11</f>
        <v>-50</v>
      </c>
      <c r="CH11" s="1">
        <f>BP11</f>
        <v>-23</v>
      </c>
      <c r="CI11" s="1">
        <f>BQ11</f>
        <v>-24</v>
      </c>
      <c r="CO11" s="1" t="str">
        <f t="shared" si="65"/>
        <v>Wilander</v>
      </c>
      <c r="CP11" s="4">
        <f t="shared" si="81"/>
        <v>515.16221792201384</v>
      </c>
      <c r="CQ11" s="4">
        <f t="shared" si="66"/>
        <v>347.16221792201389</v>
      </c>
      <c r="CR11" s="4">
        <f t="shared" si="67"/>
        <v>254.16221792201389</v>
      </c>
      <c r="CS11" s="4">
        <f t="shared" si="68"/>
        <v>431.16221792201389</v>
      </c>
      <c r="CT11" s="4">
        <f t="shared" si="69"/>
        <v>204.16221792201389</v>
      </c>
      <c r="CU11" s="4">
        <f t="shared" si="70"/>
        <v>20.162217922013888</v>
      </c>
      <c r="CV11" s="4">
        <f t="shared" si="71"/>
        <v>-87.837782077986105</v>
      </c>
      <c r="CW11" s="4">
        <f t="shared" si="72"/>
        <v>-38.837782077986112</v>
      </c>
      <c r="CX11" s="4">
        <f t="shared" si="73"/>
        <v>-11.837782077986111</v>
      </c>
      <c r="CY11" s="4">
        <f t="shared" si="74"/>
        <v>-12.837782077986111</v>
      </c>
      <c r="CZ11" s="4"/>
      <c r="DA11" s="4"/>
      <c r="DB11" s="4"/>
      <c r="DC11" s="4"/>
      <c r="DD11" s="4"/>
      <c r="DE11" s="1">
        <f>VLOOKUP(B11,[1]Ranking!$C$3:$BM$19, 34, FALSE)</f>
        <v>44</v>
      </c>
      <c r="DF11" s="4">
        <f>VLOOKUP(B11,[1]Ranking!$C$3:$BM$19, 63, FALSE)</f>
        <v>491.13758856861114</v>
      </c>
      <c r="DG11" s="4">
        <f t="shared" si="76"/>
        <v>11.162217922013889</v>
      </c>
    </row>
    <row r="12" spans="1:111" x14ac:dyDescent="0.3">
      <c r="A12" s="1">
        <v>10</v>
      </c>
      <c r="B12" s="1" t="str">
        <f>VLOOKUP(A12,[1]Ranking!$W$3:$AA$19, 5, FALSE)</f>
        <v>Courier</v>
      </c>
      <c r="D12" s="3">
        <f t="shared" ca="1" si="20"/>
        <v>0.7689099719038115</v>
      </c>
      <c r="E12" s="1">
        <f t="shared" ca="1" si="21"/>
        <v>5</v>
      </c>
      <c r="F12" s="1" t="str">
        <f t="shared" si="77"/>
        <v>Courier</v>
      </c>
      <c r="G12" s="1">
        <f>VLOOKUP($B12,[1]Data!$C$3:$Z$86,G$1, FALSE)</f>
        <v>0</v>
      </c>
      <c r="H12" s="1">
        <f>VLOOKUP($B12,[1]Data!$C$3:$Z$86,H$1, FALSE)</f>
        <v>0</v>
      </c>
      <c r="I12" s="1">
        <f>VLOOKUP($B12,[1]Data!$C$3:$Z$86,I$1, FALSE)</f>
        <v>6</v>
      </c>
      <c r="J12" s="1">
        <f>VLOOKUP($B12,[1]Data!$C$3:$Z$86,J$1, FALSE)</f>
        <v>29</v>
      </c>
      <c r="K12" s="1">
        <f>VLOOKUP($B12,[1]Data!$C$3:$Z$86,K$1, FALSE)</f>
        <v>365</v>
      </c>
      <c r="L12" s="1">
        <f>VLOOKUP($B12,[1]Data!$C$3:$Z$86,L$1, FALSE)</f>
        <v>427</v>
      </c>
      <c r="M12" s="1">
        <f>VLOOKUP($B12,[1]Data!$C$3:$Z$86,M$1, FALSE)</f>
        <v>304</v>
      </c>
      <c r="N12" s="1">
        <f>VLOOKUP($B12,[1]Data!$C$3:$Z$86,N$1, FALSE)</f>
        <v>160</v>
      </c>
      <c r="O12" s="1">
        <f>VLOOKUP($B12,[1]Data!$C$3:$Z$86,O$1, FALSE)</f>
        <v>108</v>
      </c>
      <c r="P12" s="1">
        <f>VLOOKUP($B12,[1]Data!$C$3:$Z$86,P$1, FALSE)</f>
        <v>50</v>
      </c>
      <c r="Q12" s="1">
        <f>VLOOKUP($B12,[1]Data!$C$3:$Z$86,Q$1, FALSE)</f>
        <v>0</v>
      </c>
      <c r="R12" s="1">
        <f>VLOOKUP($B12,[1]Data!$C$3:$Z$86,R$1, FALSE)</f>
        <v>52</v>
      </c>
      <c r="S12" s="1">
        <f>VLOOKUP($B12,[1]Data!$C$3:$Z$86,S$1, FALSE)</f>
        <v>-34</v>
      </c>
      <c r="T12" s="1">
        <f>VLOOKUP($B12,[1]Data!$C$3:$Z$86,T$1, FALSE)</f>
        <v>0</v>
      </c>
      <c r="U12" s="1">
        <f>VLOOKUP($B12,[1]Data!$C$3:$Z$86,U$1, FALSE)</f>
        <v>0</v>
      </c>
      <c r="V12" s="1">
        <f>VLOOKUP($B12,[1]Data!$C$3:$Z$86,V$1, FALSE)</f>
        <v>0</v>
      </c>
      <c r="W12" s="1">
        <f>VLOOKUP($B12,[1]Data!$C$3:$Z$86,W$1, FALSE)</f>
        <v>0</v>
      </c>
      <c r="X12" s="1">
        <f>VLOOKUP($B12,[1]Data!$C$3:$Z$86,X$1, FALSE)</f>
        <v>0</v>
      </c>
      <c r="Y12" s="1">
        <f>VLOOKUP($B12,[1]Data!$C$3:$Z$86,Y$1, FALSE)</f>
        <v>0</v>
      </c>
      <c r="Z12" s="1">
        <f>VLOOKUP($B12,[1]Data!$C$3:$Z$86,Z$1, FALSE)</f>
        <v>0</v>
      </c>
      <c r="AA12" s="1">
        <f>VLOOKUP($B12,[1]Data!$C$3:$Z$86,AA$1, FALSE)</f>
        <v>0</v>
      </c>
      <c r="AB12" s="1">
        <f>VLOOKUP($B12,[1]Data!$C$3:$Z$86,AB$1, FALSE)</f>
        <v>0</v>
      </c>
      <c r="AC12" s="1">
        <f>VLOOKUP($B12,[1]Data!$C$3:$Z$86,AC$1, FALSE)</f>
        <v>0</v>
      </c>
      <c r="AE12" s="1">
        <f t="shared" si="22"/>
        <v>10</v>
      </c>
      <c r="AF12" s="1">
        <f t="shared" si="23"/>
        <v>10</v>
      </c>
      <c r="AG12" s="1">
        <f t="shared" si="24"/>
        <v>9</v>
      </c>
      <c r="AH12" s="1">
        <f t="shared" si="25"/>
        <v>8</v>
      </c>
      <c r="AI12" s="1">
        <f t="shared" si="26"/>
        <v>2</v>
      </c>
      <c r="AJ12" s="1">
        <f t="shared" si="27"/>
        <v>1</v>
      </c>
      <c r="AK12" s="1">
        <f t="shared" si="28"/>
        <v>3</v>
      </c>
      <c r="AL12" s="1">
        <f t="shared" si="29"/>
        <v>4</v>
      </c>
      <c r="AM12" s="1">
        <f t="shared" si="30"/>
        <v>5</v>
      </c>
      <c r="AN12" s="1">
        <f t="shared" si="31"/>
        <v>7</v>
      </c>
      <c r="AO12" s="1">
        <f t="shared" si="32"/>
        <v>10</v>
      </c>
      <c r="AP12" s="1">
        <f t="shared" si="33"/>
        <v>6</v>
      </c>
      <c r="AQ12" s="1">
        <f t="shared" si="34"/>
        <v>23</v>
      </c>
      <c r="AR12" s="1">
        <f t="shared" si="35"/>
        <v>10</v>
      </c>
      <c r="AS12" s="1">
        <f t="shared" si="36"/>
        <v>10</v>
      </c>
      <c r="AT12" s="1">
        <f t="shared" si="37"/>
        <v>10</v>
      </c>
      <c r="AU12" s="1">
        <f t="shared" si="38"/>
        <v>10</v>
      </c>
      <c r="AV12" s="1">
        <f t="shared" si="39"/>
        <v>10</v>
      </c>
      <c r="AW12" s="1">
        <f t="shared" si="40"/>
        <v>10</v>
      </c>
      <c r="AX12" s="1">
        <f t="shared" si="41"/>
        <v>10</v>
      </c>
      <c r="AY12" s="1">
        <f t="shared" si="42"/>
        <v>10</v>
      </c>
      <c r="AZ12" s="1">
        <f t="shared" si="43"/>
        <v>10</v>
      </c>
      <c r="BA12" s="1">
        <f t="shared" si="44"/>
        <v>10</v>
      </c>
      <c r="BC12" s="1" t="str">
        <f t="shared" si="45"/>
        <v/>
      </c>
      <c r="BD12" s="1" t="str">
        <f t="shared" si="46"/>
        <v/>
      </c>
      <c r="BE12" s="1">
        <f t="shared" si="47"/>
        <v>6</v>
      </c>
      <c r="BF12" s="1">
        <f t="shared" si="48"/>
        <v>29</v>
      </c>
      <c r="BG12" s="1">
        <f t="shared" si="49"/>
        <v>365</v>
      </c>
      <c r="BH12" s="1">
        <f t="shared" si="50"/>
        <v>427</v>
      </c>
      <c r="BI12" s="1">
        <f t="shared" si="51"/>
        <v>304</v>
      </c>
      <c r="BJ12" s="1">
        <f t="shared" si="52"/>
        <v>160</v>
      </c>
      <c r="BK12" s="1">
        <f t="shared" si="53"/>
        <v>108</v>
      </c>
      <c r="BL12" s="1">
        <f t="shared" si="54"/>
        <v>50</v>
      </c>
      <c r="BM12" s="1" t="str">
        <f t="shared" si="55"/>
        <v/>
      </c>
      <c r="BN12" s="1">
        <f t="shared" si="56"/>
        <v>52</v>
      </c>
      <c r="BO12" s="1">
        <f>S12</f>
        <v>-34</v>
      </c>
      <c r="BP12" s="1" t="str">
        <f t="shared" si="58"/>
        <v/>
      </c>
      <c r="BQ12" s="1" t="str">
        <f t="shared" si="59"/>
        <v/>
      </c>
      <c r="BR12" s="1" t="str">
        <f t="shared" si="78"/>
        <v/>
      </c>
      <c r="BS12" s="1" t="str">
        <f t="shared" si="60"/>
        <v/>
      </c>
      <c r="BT12" s="1" t="str">
        <f t="shared" si="61"/>
        <v/>
      </c>
      <c r="BU12" s="1" t="str">
        <f t="shared" si="62"/>
        <v/>
      </c>
      <c r="BV12" s="1" t="str">
        <f t="shared" si="63"/>
        <v/>
      </c>
      <c r="BZ12" s="1">
        <f>BE12</f>
        <v>6</v>
      </c>
      <c r="CA12" s="1">
        <f>BF12</f>
        <v>29</v>
      </c>
      <c r="CB12" s="1">
        <f>BG12</f>
        <v>365</v>
      </c>
      <c r="CC12" s="1">
        <f>BH12</f>
        <v>427</v>
      </c>
      <c r="CD12" s="1">
        <f>BI12</f>
        <v>304</v>
      </c>
      <c r="CE12" s="1">
        <f>BJ12</f>
        <v>160</v>
      </c>
      <c r="CF12" s="1">
        <f>BK12</f>
        <v>108</v>
      </c>
      <c r="CG12" s="1">
        <f>BL12</f>
        <v>50</v>
      </c>
      <c r="CH12" s="1">
        <f>BN12</f>
        <v>52</v>
      </c>
      <c r="CI12" s="1">
        <f>BO12</f>
        <v>-34</v>
      </c>
      <c r="CO12" s="1" t="str">
        <f t="shared" si="65"/>
        <v>Courier</v>
      </c>
      <c r="CP12" s="4">
        <f t="shared" si="81"/>
        <v>17.162217922013888</v>
      </c>
      <c r="CQ12" s="4">
        <f t="shared" si="66"/>
        <v>40.162217922013888</v>
      </c>
      <c r="CR12" s="4">
        <f t="shared" si="67"/>
        <v>376.16221792201389</v>
      </c>
      <c r="CS12" s="4">
        <f t="shared" si="68"/>
        <v>438.16221792201389</v>
      </c>
      <c r="CT12" s="4">
        <f t="shared" si="69"/>
        <v>315.16221792201389</v>
      </c>
      <c r="CU12" s="4">
        <f t="shared" si="70"/>
        <v>171.16221792201389</v>
      </c>
      <c r="CV12" s="4">
        <f t="shared" si="71"/>
        <v>119.16221792201388</v>
      </c>
      <c r="CW12" s="4">
        <f t="shared" si="72"/>
        <v>61.162217922013888</v>
      </c>
      <c r="CX12" s="4">
        <f t="shared" si="73"/>
        <v>63.162217922013888</v>
      </c>
      <c r="CY12" s="4">
        <f t="shared" si="74"/>
        <v>-22.837782077986112</v>
      </c>
      <c r="CZ12" s="4"/>
      <c r="DA12" s="4"/>
      <c r="DB12" s="4"/>
      <c r="DC12" s="4"/>
      <c r="DD12" s="4"/>
      <c r="DE12" s="1">
        <f>VLOOKUP(B12,[1]Ranking!$C$3:$BM$19, 34, FALSE)</f>
        <v>42</v>
      </c>
      <c r="DF12" s="4">
        <f>VLOOKUP(B12,[1]Ranking!$C$3:$BM$19, 63, FALSE)</f>
        <v>468.81315272458323</v>
      </c>
      <c r="DG12" s="4">
        <f t="shared" si="76"/>
        <v>11.162217922013886</v>
      </c>
    </row>
    <row r="13" spans="1:111" x14ac:dyDescent="0.3">
      <c r="A13" s="1">
        <v>11</v>
      </c>
      <c r="B13" s="1" t="str">
        <f>VLOOKUP(A13,[1]Ranking!$W$3:$AA$19, 5, FALSE)</f>
        <v>Wawrinka</v>
      </c>
      <c r="D13" s="3">
        <f t="shared" ca="1" si="20"/>
        <v>0.6716965554926424</v>
      </c>
      <c r="E13" s="1">
        <f t="shared" ca="1" si="21"/>
        <v>8</v>
      </c>
      <c r="F13" s="1" t="str">
        <f t="shared" si="77"/>
        <v>Wawrinka</v>
      </c>
      <c r="G13" s="1">
        <f>VLOOKUP($B13,[1]Data!$C$3:$Z$86,G$1, FALSE)</f>
        <v>0</v>
      </c>
      <c r="H13" s="1">
        <f>VLOOKUP($B13,[1]Data!$C$3:$Z$86,H$1, FALSE)</f>
        <v>24</v>
      </c>
      <c r="I13" s="1">
        <f>VLOOKUP($B13,[1]Data!$C$3:$Z$86,I$1, FALSE)</f>
        <v>3</v>
      </c>
      <c r="J13" s="1">
        <f>VLOOKUP($B13,[1]Data!$C$3:$Z$86,J$1, FALSE)</f>
        <v>-38</v>
      </c>
      <c r="K13" s="1">
        <f>VLOOKUP($B13,[1]Data!$C$3:$Z$86,K$1, FALSE)</f>
        <v>-18</v>
      </c>
      <c r="L13" s="1">
        <f>VLOOKUP($B13,[1]Data!$C$3:$Z$86,L$1, FALSE)</f>
        <v>43</v>
      </c>
      <c r="M13" s="1">
        <f>VLOOKUP($B13,[1]Data!$C$3:$Z$86,M$1, FALSE)</f>
        <v>211</v>
      </c>
      <c r="N13" s="1">
        <f>VLOOKUP($B13,[1]Data!$C$3:$Z$86,N$1, FALSE)</f>
        <v>62</v>
      </c>
      <c r="O13" s="1">
        <f>VLOOKUP($B13,[1]Data!$C$3:$Z$86,O$1, FALSE)</f>
        <v>90</v>
      </c>
      <c r="P13" s="1">
        <f>VLOOKUP($B13,[1]Data!$C$3:$Z$86,P$1, FALSE)</f>
        <v>523</v>
      </c>
      <c r="Q13" s="1">
        <f>VLOOKUP($B13,[1]Data!$C$3:$Z$86,Q$1, FALSE)</f>
        <v>207</v>
      </c>
      <c r="R13" s="1">
        <f>VLOOKUP($B13,[1]Data!$C$3:$Z$86,R$1, FALSE)</f>
        <v>38</v>
      </c>
      <c r="S13" s="1">
        <f>VLOOKUP($B13,[1]Data!$C$3:$Z$86,S$1, FALSE)</f>
        <v>309</v>
      </c>
      <c r="T13" s="1">
        <f>VLOOKUP($B13,[1]Data!$C$3:$Z$86,T$1, FALSE)</f>
        <v>-96</v>
      </c>
      <c r="U13" s="1">
        <f>VLOOKUP($B13,[1]Data!$C$3:$Z$86,U$1, FALSE)</f>
        <v>0</v>
      </c>
      <c r="V13" s="1">
        <f>VLOOKUP($B13,[1]Data!$C$3:$Z$86,V$1, FALSE)</f>
        <v>0</v>
      </c>
      <c r="W13" s="1">
        <f>VLOOKUP($B13,[1]Data!$C$3:$Z$86,W$1, FALSE)</f>
        <v>0</v>
      </c>
      <c r="X13" s="1">
        <f>VLOOKUP($B13,[1]Data!$C$3:$Z$86,X$1, FALSE)</f>
        <v>0</v>
      </c>
      <c r="Y13" s="1">
        <f>VLOOKUP($B13,[1]Data!$C$3:$Z$86,Y$1, FALSE)</f>
        <v>0</v>
      </c>
      <c r="Z13" s="1">
        <f>VLOOKUP($B13,[1]Data!$C$3:$Z$86,Z$1, FALSE)</f>
        <v>0</v>
      </c>
      <c r="AA13" s="1">
        <f>VLOOKUP($B13,[1]Data!$C$3:$Z$86,AA$1, FALSE)</f>
        <v>0</v>
      </c>
      <c r="AB13" s="1">
        <f>VLOOKUP($B13,[1]Data!$C$3:$Z$86,AB$1, FALSE)</f>
        <v>0</v>
      </c>
      <c r="AC13" s="1">
        <f>VLOOKUP($B13,[1]Data!$C$3:$Z$86,AC$1, FALSE)</f>
        <v>0</v>
      </c>
      <c r="AE13" s="1">
        <f t="shared" si="22"/>
        <v>11</v>
      </c>
      <c r="AF13" s="1">
        <f t="shared" si="23"/>
        <v>9</v>
      </c>
      <c r="AG13" s="1">
        <f t="shared" si="24"/>
        <v>10</v>
      </c>
      <c r="AH13" s="1">
        <f t="shared" si="25"/>
        <v>22</v>
      </c>
      <c r="AI13" s="1">
        <f t="shared" si="26"/>
        <v>21</v>
      </c>
      <c r="AJ13" s="1">
        <f t="shared" si="27"/>
        <v>7</v>
      </c>
      <c r="AK13" s="1">
        <f t="shared" si="28"/>
        <v>3</v>
      </c>
      <c r="AL13" s="1">
        <f t="shared" si="29"/>
        <v>6</v>
      </c>
      <c r="AM13" s="1">
        <f t="shared" si="30"/>
        <v>5</v>
      </c>
      <c r="AN13" s="1">
        <f t="shared" si="31"/>
        <v>1</v>
      </c>
      <c r="AO13" s="1">
        <f t="shared" si="32"/>
        <v>4</v>
      </c>
      <c r="AP13" s="1">
        <f t="shared" si="33"/>
        <v>8</v>
      </c>
      <c r="AQ13" s="1">
        <f t="shared" si="34"/>
        <v>2</v>
      </c>
      <c r="AR13" s="1">
        <f t="shared" si="35"/>
        <v>23</v>
      </c>
      <c r="AS13" s="1">
        <f t="shared" si="36"/>
        <v>11</v>
      </c>
      <c r="AT13" s="1">
        <f t="shared" si="37"/>
        <v>11</v>
      </c>
      <c r="AU13" s="1">
        <f t="shared" si="38"/>
        <v>11</v>
      </c>
      <c r="AV13" s="1">
        <f t="shared" si="39"/>
        <v>11</v>
      </c>
      <c r="AW13" s="1">
        <f t="shared" si="40"/>
        <v>11</v>
      </c>
      <c r="AX13" s="1">
        <f t="shared" si="41"/>
        <v>11</v>
      </c>
      <c r="AY13" s="1">
        <f t="shared" si="42"/>
        <v>11</v>
      </c>
      <c r="AZ13" s="1">
        <f t="shared" si="43"/>
        <v>11</v>
      </c>
      <c r="BA13" s="1">
        <f t="shared" si="44"/>
        <v>11</v>
      </c>
      <c r="BC13" s="1" t="str">
        <f t="shared" si="45"/>
        <v/>
      </c>
      <c r="BD13" s="1">
        <f t="shared" si="46"/>
        <v>24</v>
      </c>
      <c r="BE13" s="1">
        <f t="shared" si="47"/>
        <v>3</v>
      </c>
      <c r="BF13" s="1">
        <f>J13</f>
        <v>-38</v>
      </c>
      <c r="BG13" s="2">
        <f>K13</f>
        <v>-18</v>
      </c>
      <c r="BH13" s="1">
        <f t="shared" si="50"/>
        <v>43</v>
      </c>
      <c r="BI13" s="1">
        <f t="shared" si="51"/>
        <v>211</v>
      </c>
      <c r="BJ13" s="1">
        <f t="shared" si="52"/>
        <v>62</v>
      </c>
      <c r="BK13" s="1">
        <f t="shared" si="53"/>
        <v>90</v>
      </c>
      <c r="BL13" s="1">
        <f t="shared" si="54"/>
        <v>523</v>
      </c>
      <c r="BM13" s="1">
        <f t="shared" si="55"/>
        <v>207</v>
      </c>
      <c r="BN13" s="1">
        <f t="shared" si="56"/>
        <v>38</v>
      </c>
      <c r="BO13" s="1">
        <f t="shared" si="57"/>
        <v>309</v>
      </c>
      <c r="BP13" s="1">
        <f>T13</f>
        <v>-96</v>
      </c>
      <c r="BQ13" s="1" t="str">
        <f t="shared" si="59"/>
        <v/>
      </c>
      <c r="BR13" s="1" t="str">
        <f t="shared" si="78"/>
        <v/>
      </c>
      <c r="BS13" s="1" t="str">
        <f t="shared" si="60"/>
        <v/>
      </c>
      <c r="BT13" s="1" t="str">
        <f t="shared" si="61"/>
        <v/>
      </c>
      <c r="BU13" s="1" t="str">
        <f t="shared" si="62"/>
        <v/>
      </c>
      <c r="BV13" s="1" t="str">
        <f t="shared" si="63"/>
        <v/>
      </c>
      <c r="BZ13" s="1">
        <f>BD13</f>
        <v>24</v>
      </c>
      <c r="CA13" s="1">
        <f>BE13</f>
        <v>3</v>
      </c>
      <c r="CB13" s="1">
        <f t="shared" ref="CB13:CG13" si="82">BH13</f>
        <v>43</v>
      </c>
      <c r="CC13" s="1">
        <f t="shared" si="82"/>
        <v>211</v>
      </c>
      <c r="CD13" s="1">
        <f t="shared" si="82"/>
        <v>62</v>
      </c>
      <c r="CE13" s="1">
        <f t="shared" si="82"/>
        <v>90</v>
      </c>
      <c r="CF13" s="1">
        <f t="shared" si="82"/>
        <v>523</v>
      </c>
      <c r="CG13" s="1">
        <f t="shared" si="82"/>
        <v>207</v>
      </c>
      <c r="CH13" s="1">
        <f>BN13</f>
        <v>38</v>
      </c>
      <c r="CI13" s="1">
        <f>BO13</f>
        <v>309</v>
      </c>
      <c r="CJ13" s="1">
        <f>BP13</f>
        <v>-96</v>
      </c>
      <c r="CK13" s="1">
        <f>BG13</f>
        <v>-18</v>
      </c>
      <c r="CL13" s="1">
        <f>BF13</f>
        <v>-38</v>
      </c>
      <c r="CO13" s="1" t="str">
        <f t="shared" si="65"/>
        <v>Wawrinka</v>
      </c>
      <c r="CP13" s="4">
        <f t="shared" si="81"/>
        <v>16.227882755363577</v>
      </c>
      <c r="CQ13" s="4">
        <f t="shared" si="66"/>
        <v>-4.7721172446364228</v>
      </c>
      <c r="CR13" s="4">
        <f t="shared" si="67"/>
        <v>35.227882755363581</v>
      </c>
      <c r="CS13" s="4">
        <f t="shared" si="68"/>
        <v>203.22788275536357</v>
      </c>
      <c r="CT13" s="4">
        <f t="shared" si="69"/>
        <v>54.227882755363581</v>
      </c>
      <c r="CU13" s="4">
        <f t="shared" si="70"/>
        <v>82.227882755363581</v>
      </c>
      <c r="CV13" s="4">
        <f t="shared" si="71"/>
        <v>515.22788275536357</v>
      </c>
      <c r="CW13" s="4">
        <f t="shared" si="72"/>
        <v>199.22788275536357</v>
      </c>
      <c r="CX13" s="4">
        <f t="shared" si="73"/>
        <v>30.227882755363577</v>
      </c>
      <c r="CY13" s="4">
        <f t="shared" si="74"/>
        <v>301.22788275536357</v>
      </c>
      <c r="CZ13" s="4">
        <f t="shared" si="74"/>
        <v>-103.77211724463642</v>
      </c>
      <c r="DA13" s="4">
        <f t="shared" ref="DA13" si="83">CK13+$DG13</f>
        <v>-25.772117244636423</v>
      </c>
      <c r="DB13" s="4">
        <f t="shared" ref="DB13" si="84">CL13+$DG13</f>
        <v>-45.772117244636419</v>
      </c>
      <c r="DC13" s="4"/>
      <c r="DD13" s="4"/>
      <c r="DE13" s="1">
        <f>VLOOKUP(B13,[1]Ranking!$C$3:$BM$19, 34, FALSE)</f>
        <v>53</v>
      </c>
      <c r="DF13" s="4">
        <f>VLOOKUP(B13,[1]Ranking!$C$3:$BM$19, 63, FALSE)</f>
        <v>-411.92221396573041</v>
      </c>
      <c r="DG13" s="4">
        <f t="shared" si="76"/>
        <v>-7.7721172446364228</v>
      </c>
    </row>
    <row r="14" spans="1:111" x14ac:dyDescent="0.3">
      <c r="A14" s="1">
        <v>12</v>
      </c>
      <c r="B14" s="1" t="str">
        <f>VLOOKUP(A14,[1]Ranking!$W$3:$AA$19, 5, FALSE)</f>
        <v>Vilas</v>
      </c>
      <c r="D14" s="3">
        <f t="shared" ca="1" si="20"/>
        <v>0.83361682143069227</v>
      </c>
      <c r="E14" s="1">
        <f t="shared" ca="1" si="21"/>
        <v>3</v>
      </c>
      <c r="F14" s="1" t="str">
        <f t="shared" si="77"/>
        <v>Vilas</v>
      </c>
      <c r="G14" s="1">
        <f>VLOOKUP($B14,[1]Data!$C$3:$Z$86,G$1, FALSE)</f>
        <v>0</v>
      </c>
      <c r="H14" s="1">
        <f>VLOOKUP($B14,[1]Data!$C$3:$Z$86,H$1, FALSE)</f>
        <v>0</v>
      </c>
      <c r="I14" s="1">
        <f>VLOOKUP($B14,[1]Data!$C$3:$Z$86,I$1, FALSE)</f>
        <v>0</v>
      </c>
      <c r="J14" s="1">
        <f>VLOOKUP($B14,[1]Data!$C$3:$Z$86,J$1, FALSE)</f>
        <v>0</v>
      </c>
      <c r="K14" s="1">
        <f>VLOOKUP($B14,[1]Data!$C$3:$Z$86,K$1, FALSE)</f>
        <v>0</v>
      </c>
      <c r="L14" s="1">
        <f>VLOOKUP($B14,[1]Data!$C$3:$Z$86,L$1, FALSE)</f>
        <v>0</v>
      </c>
      <c r="M14" s="1">
        <f>VLOOKUP($B14,[1]Data!$C$3:$Z$86,M$1, FALSE)</f>
        <v>0</v>
      </c>
      <c r="N14" s="1">
        <f>VLOOKUP($B14,[1]Data!$C$3:$Z$86,N$1, FALSE)</f>
        <v>183</v>
      </c>
      <c r="O14" s="1">
        <f>VLOOKUP($B14,[1]Data!$C$3:$Z$86,O$1, FALSE)</f>
        <v>354</v>
      </c>
      <c r="P14" s="1">
        <f>VLOOKUP($B14,[1]Data!$C$3:$Z$86,P$1, FALSE)</f>
        <v>490</v>
      </c>
      <c r="Q14" s="1">
        <f>VLOOKUP($B14,[1]Data!$C$3:$Z$86,Q$1, FALSE)</f>
        <v>133</v>
      </c>
      <c r="R14" s="1">
        <f>VLOOKUP($B14,[1]Data!$C$3:$Z$86,R$1, FALSE)</f>
        <v>22</v>
      </c>
      <c r="S14" s="1">
        <f>VLOOKUP($B14,[1]Data!$C$3:$Z$86,S$1, FALSE)</f>
        <v>0</v>
      </c>
      <c r="T14" s="1">
        <f>VLOOKUP($B14,[1]Data!$C$3:$Z$86,T$1, FALSE)</f>
        <v>0</v>
      </c>
      <c r="U14" s="1">
        <f>VLOOKUP($B14,[1]Data!$C$3:$Z$86,U$1, FALSE)</f>
        <v>0</v>
      </c>
      <c r="V14" s="1">
        <f>VLOOKUP($B14,[1]Data!$C$3:$Z$86,V$1, FALSE)</f>
        <v>0</v>
      </c>
      <c r="W14" s="1">
        <f>VLOOKUP($B14,[1]Data!$C$3:$Z$86,W$1, FALSE)</f>
        <v>0</v>
      </c>
      <c r="X14" s="1">
        <f>VLOOKUP($B14,[1]Data!$C$3:$Z$86,X$1, FALSE)</f>
        <v>0</v>
      </c>
      <c r="Y14" s="1">
        <f>VLOOKUP($B14,[1]Data!$C$3:$Z$86,Y$1, FALSE)</f>
        <v>0</v>
      </c>
      <c r="Z14" s="1">
        <f>VLOOKUP($B14,[1]Data!$C$3:$Z$86,Z$1, FALSE)</f>
        <v>0</v>
      </c>
      <c r="AA14" s="1">
        <f>VLOOKUP($B14,[1]Data!$C$3:$Z$86,AA$1, FALSE)</f>
        <v>0</v>
      </c>
      <c r="AB14" s="1">
        <f>VLOOKUP($B14,[1]Data!$C$3:$Z$86,AB$1, FALSE)</f>
        <v>0</v>
      </c>
      <c r="AC14" s="1">
        <f>VLOOKUP($B14,[1]Data!$C$3:$Z$86,AC$1, FALSE)</f>
        <v>0</v>
      </c>
      <c r="AE14" s="1">
        <f t="shared" si="22"/>
        <v>6</v>
      </c>
      <c r="AF14" s="1">
        <f t="shared" si="23"/>
        <v>6</v>
      </c>
      <c r="AG14" s="1">
        <f t="shared" si="24"/>
        <v>6</v>
      </c>
      <c r="AH14" s="1">
        <f t="shared" si="25"/>
        <v>6</v>
      </c>
      <c r="AI14" s="1">
        <f t="shared" si="26"/>
        <v>6</v>
      </c>
      <c r="AJ14" s="1">
        <f t="shared" si="27"/>
        <v>6</v>
      </c>
      <c r="AK14" s="1">
        <f t="shared" si="28"/>
        <v>6</v>
      </c>
      <c r="AL14" s="1">
        <f t="shared" si="29"/>
        <v>3</v>
      </c>
      <c r="AM14" s="1">
        <f t="shared" si="30"/>
        <v>2</v>
      </c>
      <c r="AN14" s="1">
        <f t="shared" si="31"/>
        <v>1</v>
      </c>
      <c r="AO14" s="1">
        <f t="shared" si="32"/>
        <v>4</v>
      </c>
      <c r="AP14" s="1">
        <f t="shared" si="33"/>
        <v>5</v>
      </c>
      <c r="AQ14" s="1">
        <f t="shared" si="34"/>
        <v>6</v>
      </c>
      <c r="AR14" s="1">
        <f t="shared" si="35"/>
        <v>6</v>
      </c>
      <c r="AS14" s="1">
        <f t="shared" si="36"/>
        <v>6</v>
      </c>
      <c r="AT14" s="1">
        <f t="shared" si="37"/>
        <v>6</v>
      </c>
      <c r="AU14" s="1">
        <f t="shared" si="38"/>
        <v>6</v>
      </c>
      <c r="AV14" s="1">
        <f t="shared" si="39"/>
        <v>6</v>
      </c>
      <c r="AW14" s="1">
        <f t="shared" si="40"/>
        <v>6</v>
      </c>
      <c r="AX14" s="1">
        <f t="shared" si="41"/>
        <v>6</v>
      </c>
      <c r="AY14" s="1">
        <f t="shared" si="42"/>
        <v>6</v>
      </c>
      <c r="AZ14" s="1">
        <f t="shared" si="43"/>
        <v>6</v>
      </c>
      <c r="BA14" s="1">
        <f t="shared" si="44"/>
        <v>6</v>
      </c>
      <c r="BC14" s="1" t="str">
        <f t="shared" si="45"/>
        <v/>
      </c>
      <c r="BD14" s="1" t="str">
        <f t="shared" si="46"/>
        <v/>
      </c>
      <c r="BE14" s="1" t="str">
        <f t="shared" si="47"/>
        <v/>
      </c>
      <c r="BF14" s="1" t="str">
        <f t="shared" si="48"/>
        <v/>
      </c>
      <c r="BG14" s="1" t="str">
        <f t="shared" si="49"/>
        <v/>
      </c>
      <c r="BH14" s="1" t="str">
        <f t="shared" si="50"/>
        <v/>
      </c>
      <c r="BI14" s="1" t="str">
        <f t="shared" si="51"/>
        <v/>
      </c>
      <c r="BJ14" s="1">
        <f t="shared" si="52"/>
        <v>183</v>
      </c>
      <c r="BK14" s="1">
        <f t="shared" si="53"/>
        <v>354</v>
      </c>
      <c r="BL14" s="1">
        <f t="shared" si="54"/>
        <v>490</v>
      </c>
      <c r="BM14" s="1">
        <f t="shared" si="55"/>
        <v>133</v>
      </c>
      <c r="BN14" s="1">
        <f t="shared" si="56"/>
        <v>22</v>
      </c>
      <c r="BO14" s="1" t="str">
        <f t="shared" si="57"/>
        <v/>
      </c>
      <c r="BP14" s="1" t="str">
        <f t="shared" si="58"/>
        <v/>
      </c>
      <c r="BQ14" s="1" t="str">
        <f t="shared" si="59"/>
        <v/>
      </c>
      <c r="BR14" s="1" t="str">
        <f t="shared" si="78"/>
        <v/>
      </c>
      <c r="BS14" s="1" t="str">
        <f t="shared" si="60"/>
        <v/>
      </c>
      <c r="BT14" s="1" t="str">
        <f t="shared" si="61"/>
        <v/>
      </c>
      <c r="BU14" s="1" t="str">
        <f t="shared" si="62"/>
        <v/>
      </c>
      <c r="BV14" s="1" t="str">
        <f t="shared" si="63"/>
        <v/>
      </c>
      <c r="BZ14" s="1">
        <f>BJ14</f>
        <v>183</v>
      </c>
      <c r="CA14" s="1">
        <f>BK14</f>
        <v>354</v>
      </c>
      <c r="CB14" s="1">
        <f>BL14</f>
        <v>490</v>
      </c>
      <c r="CC14" s="1">
        <f>BM14</f>
        <v>133</v>
      </c>
      <c r="CD14" s="1">
        <f>BN14</f>
        <v>22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O14" s="1" t="str">
        <f t="shared" si="65"/>
        <v>Vilas</v>
      </c>
      <c r="CP14" s="4">
        <f t="shared" si="81"/>
        <v>194.16221792201387</v>
      </c>
      <c r="CQ14" s="4">
        <f t="shared" si="66"/>
        <v>365.16221792201389</v>
      </c>
      <c r="CR14" s="4">
        <f t="shared" si="67"/>
        <v>501.16221792201389</v>
      </c>
      <c r="CS14" s="4">
        <f t="shared" si="68"/>
        <v>144.16221792201387</v>
      </c>
      <c r="CT14" s="4">
        <f t="shared" si="69"/>
        <v>33.16221792201388</v>
      </c>
      <c r="CU14" s="4">
        <f t="shared" si="70"/>
        <v>11.162217922013877</v>
      </c>
      <c r="CV14" s="4">
        <f t="shared" si="71"/>
        <v>11.162217922013877</v>
      </c>
      <c r="CW14" s="4">
        <f t="shared" si="72"/>
        <v>11.162217922013877</v>
      </c>
      <c r="CX14" s="4">
        <f t="shared" si="73"/>
        <v>11.162217922013877</v>
      </c>
      <c r="CY14" s="4">
        <f t="shared" si="74"/>
        <v>11.162217922013877</v>
      </c>
      <c r="CZ14" s="4"/>
      <c r="DA14" s="4"/>
      <c r="DB14" s="4"/>
      <c r="DC14" s="4"/>
      <c r="DD14" s="4"/>
      <c r="DE14" s="1">
        <f>VLOOKUP(B14,[1]Ranking!$C$3:$BM$19, 34, FALSE)</f>
        <v>49</v>
      </c>
      <c r="DF14" s="4">
        <f>VLOOKUP(B14,[1]Ranking!$C$3:$BM$19, 63, FALSE)</f>
        <v>546.94867817867998</v>
      </c>
      <c r="DG14" s="4">
        <f t="shared" si="76"/>
        <v>11.162217922013877</v>
      </c>
    </row>
    <row r="15" spans="1:111" x14ac:dyDescent="0.3">
      <c r="A15" s="1">
        <v>13</v>
      </c>
      <c r="B15" s="1" t="str">
        <f>VLOOKUP(A15,[1]Ranking!$W$3:$AA$19, 5, FALSE)</f>
        <v>Becker</v>
      </c>
      <c r="D15" s="3">
        <f t="shared" ca="1" si="20"/>
        <v>0.95261927751062792</v>
      </c>
      <c r="E15" s="1">
        <f t="shared" ca="1" si="21"/>
        <v>1</v>
      </c>
      <c r="F15" s="1" t="str">
        <f t="shared" si="77"/>
        <v>Becker</v>
      </c>
      <c r="G15" s="1">
        <f>VLOOKUP($B15,[1]Data!$C$3:$Z$86,G$1, FALSE)</f>
        <v>168</v>
      </c>
      <c r="H15" s="1">
        <f>VLOOKUP($B15,[1]Data!$C$3:$Z$86,H$1, FALSE)</f>
        <v>-98</v>
      </c>
      <c r="I15" s="1">
        <f>VLOOKUP($B15,[1]Data!$C$3:$Z$86,I$1, FALSE)</f>
        <v>0</v>
      </c>
      <c r="J15" s="1">
        <f>VLOOKUP($B15,[1]Data!$C$3:$Z$86,J$1, FALSE)</f>
        <v>28</v>
      </c>
      <c r="K15" s="1">
        <f>VLOOKUP($B15,[1]Data!$C$3:$Z$86,K$1, FALSE)</f>
        <v>0</v>
      </c>
      <c r="L15" s="1">
        <f>VLOOKUP($B15,[1]Data!$C$3:$Z$86,L$1, FALSE)</f>
        <v>-4</v>
      </c>
      <c r="M15" s="1">
        <f>VLOOKUP($B15,[1]Data!$C$3:$Z$86,M$1, FALSE)</f>
        <v>174</v>
      </c>
      <c r="N15" s="1">
        <f>VLOOKUP($B15,[1]Data!$C$3:$Z$86,N$1, FALSE)</f>
        <v>317</v>
      </c>
      <c r="O15" s="1">
        <f>VLOOKUP($B15,[1]Data!$C$3:$Z$86,O$1, FALSE)</f>
        <v>4</v>
      </c>
      <c r="P15" s="1">
        <f>VLOOKUP($B15,[1]Data!$C$3:$Z$86,P$1, FALSE)</f>
        <v>-99</v>
      </c>
      <c r="Q15" s="1">
        <f>VLOOKUP($B15,[1]Data!$C$3:$Z$86,Q$1, FALSE)</f>
        <v>0</v>
      </c>
      <c r="R15" s="1">
        <f>VLOOKUP($B15,[1]Data!$C$3:$Z$86,R$1, FALSE)</f>
        <v>-65</v>
      </c>
      <c r="S15" s="1">
        <f>VLOOKUP($B15,[1]Data!$C$3:$Z$86,S$1, FALSE)</f>
        <v>484</v>
      </c>
      <c r="T15" s="1">
        <f>VLOOKUP($B15,[1]Data!$C$3:$Z$86,T$1, FALSE)</f>
        <v>-25</v>
      </c>
      <c r="U15" s="1">
        <f>VLOOKUP($B15,[1]Data!$C$3:$Z$86,U$1, FALSE)</f>
        <v>0</v>
      </c>
      <c r="V15" s="1">
        <f>VLOOKUP($B15,[1]Data!$C$3:$Z$86,V$1, FALSE)</f>
        <v>0</v>
      </c>
      <c r="W15" s="1">
        <f>VLOOKUP($B15,[1]Data!$C$3:$Z$86,W$1, FALSE)</f>
        <v>0</v>
      </c>
      <c r="X15" s="1">
        <f>VLOOKUP($B15,[1]Data!$C$3:$Z$86,X$1, FALSE)</f>
        <v>0</v>
      </c>
      <c r="Y15" s="1">
        <f>VLOOKUP($B15,[1]Data!$C$3:$Z$86,Y$1, FALSE)</f>
        <v>0</v>
      </c>
      <c r="Z15" s="1">
        <f>VLOOKUP($B15,[1]Data!$C$3:$Z$86,Z$1, FALSE)</f>
        <v>0</v>
      </c>
      <c r="AA15" s="1">
        <f>VLOOKUP($B15,[1]Data!$C$3:$Z$86,AA$1, FALSE)</f>
        <v>0</v>
      </c>
      <c r="AB15" s="1">
        <f>VLOOKUP($B15,[1]Data!$C$3:$Z$86,AB$1, FALSE)</f>
        <v>0</v>
      </c>
      <c r="AC15" s="1">
        <f>VLOOKUP($B15,[1]Data!$C$3:$Z$86,AC$1, FALSE)</f>
        <v>0</v>
      </c>
      <c r="AE15" s="1">
        <f t="shared" si="22"/>
        <v>4</v>
      </c>
      <c r="AF15" s="1">
        <f t="shared" si="23"/>
        <v>22</v>
      </c>
      <c r="AG15" s="1">
        <f t="shared" si="24"/>
        <v>7</v>
      </c>
      <c r="AH15" s="1">
        <f t="shared" si="25"/>
        <v>5</v>
      </c>
      <c r="AI15" s="1">
        <f t="shared" si="26"/>
        <v>7</v>
      </c>
      <c r="AJ15" s="1">
        <f t="shared" si="27"/>
        <v>19</v>
      </c>
      <c r="AK15" s="1">
        <f t="shared" si="28"/>
        <v>3</v>
      </c>
      <c r="AL15" s="1">
        <f t="shared" si="29"/>
        <v>2</v>
      </c>
      <c r="AM15" s="1">
        <f t="shared" si="30"/>
        <v>6</v>
      </c>
      <c r="AN15" s="1">
        <f t="shared" si="31"/>
        <v>23</v>
      </c>
      <c r="AO15" s="1">
        <f t="shared" si="32"/>
        <v>7</v>
      </c>
      <c r="AP15" s="1">
        <f t="shared" si="33"/>
        <v>21</v>
      </c>
      <c r="AQ15" s="1">
        <f t="shared" si="34"/>
        <v>1</v>
      </c>
      <c r="AR15" s="1">
        <f t="shared" si="35"/>
        <v>20</v>
      </c>
      <c r="AS15" s="1">
        <f t="shared" si="36"/>
        <v>7</v>
      </c>
      <c r="AT15" s="1">
        <f t="shared" si="37"/>
        <v>7</v>
      </c>
      <c r="AU15" s="1">
        <f t="shared" si="38"/>
        <v>7</v>
      </c>
      <c r="AV15" s="1">
        <f t="shared" si="39"/>
        <v>7</v>
      </c>
      <c r="AW15" s="1">
        <f t="shared" si="40"/>
        <v>7</v>
      </c>
      <c r="AX15" s="1">
        <f t="shared" si="41"/>
        <v>7</v>
      </c>
      <c r="AY15" s="1">
        <f t="shared" si="42"/>
        <v>7</v>
      </c>
      <c r="AZ15" s="1">
        <f t="shared" si="43"/>
        <v>7</v>
      </c>
      <c r="BA15" s="1">
        <f t="shared" si="44"/>
        <v>7</v>
      </c>
      <c r="BC15" s="1">
        <f t="shared" si="45"/>
        <v>168</v>
      </c>
      <c r="BD15" s="1">
        <f>H15</f>
        <v>-98</v>
      </c>
      <c r="BE15" s="1" t="str">
        <f t="shared" si="47"/>
        <v/>
      </c>
      <c r="BF15" s="1">
        <f t="shared" si="48"/>
        <v>28</v>
      </c>
      <c r="BG15" s="1" t="str">
        <f t="shared" si="49"/>
        <v/>
      </c>
      <c r="BH15" s="1">
        <f>L15</f>
        <v>-4</v>
      </c>
      <c r="BI15" s="1">
        <f t="shared" si="51"/>
        <v>174</v>
      </c>
      <c r="BJ15" s="1">
        <f t="shared" si="52"/>
        <v>317</v>
      </c>
      <c r="BK15" s="1">
        <f t="shared" si="53"/>
        <v>4</v>
      </c>
      <c r="BL15" s="1">
        <f>P15</f>
        <v>-99</v>
      </c>
      <c r="BM15" s="1" t="str">
        <f t="shared" si="55"/>
        <v/>
      </c>
      <c r="BN15" s="1">
        <f>R15</f>
        <v>-65</v>
      </c>
      <c r="BO15" s="1">
        <f t="shared" si="57"/>
        <v>484</v>
      </c>
      <c r="BP15" s="1">
        <f>T15</f>
        <v>-25</v>
      </c>
      <c r="BQ15" s="1" t="str">
        <f t="shared" si="59"/>
        <v/>
      </c>
      <c r="BR15" s="1" t="str">
        <f t="shared" si="78"/>
        <v/>
      </c>
      <c r="BS15" s="1" t="str">
        <f t="shared" si="60"/>
        <v/>
      </c>
      <c r="BT15" s="1" t="str">
        <f t="shared" si="61"/>
        <v/>
      </c>
      <c r="BU15" s="1" t="str">
        <f t="shared" si="62"/>
        <v/>
      </c>
      <c r="BV15" s="1" t="str">
        <f t="shared" si="63"/>
        <v/>
      </c>
      <c r="BZ15" s="1">
        <f>BC15</f>
        <v>168</v>
      </c>
      <c r="CA15" s="1">
        <f>BF15</f>
        <v>28</v>
      </c>
      <c r="CB15" s="1">
        <f>BI15</f>
        <v>174</v>
      </c>
      <c r="CC15" s="1">
        <f>BJ15</f>
        <v>317</v>
      </c>
      <c r="CD15" s="1">
        <f>BK15</f>
        <v>4</v>
      </c>
      <c r="CE15" s="1">
        <f>BO15</f>
        <v>484</v>
      </c>
      <c r="CF15" s="1">
        <f>BP15</f>
        <v>-25</v>
      </c>
      <c r="CG15" s="1">
        <f>BN15</f>
        <v>-65</v>
      </c>
      <c r="CH15" s="1">
        <f>BL15</f>
        <v>-99</v>
      </c>
      <c r="CI15" s="1">
        <f>BH15</f>
        <v>-4</v>
      </c>
      <c r="CJ15" s="1">
        <f>BD15</f>
        <v>-98</v>
      </c>
      <c r="CO15" s="1" t="str">
        <f t="shared" si="65"/>
        <v>Becker</v>
      </c>
      <c r="CP15" s="4">
        <f t="shared" si="81"/>
        <v>179.16221792201389</v>
      </c>
      <c r="CQ15" s="4">
        <f t="shared" si="66"/>
        <v>39.162217922013895</v>
      </c>
      <c r="CR15" s="4">
        <f t="shared" si="67"/>
        <v>185.16221792201389</v>
      </c>
      <c r="CS15" s="4">
        <f t="shared" si="68"/>
        <v>328.16221792201389</v>
      </c>
      <c r="CT15" s="4">
        <f t="shared" si="69"/>
        <v>15.162217922013893</v>
      </c>
      <c r="CU15" s="4">
        <f t="shared" si="70"/>
        <v>495.16221792201389</v>
      </c>
      <c r="CV15" s="4">
        <f t="shared" si="71"/>
        <v>-13.837782077986107</v>
      </c>
      <c r="CW15" s="4">
        <f t="shared" si="72"/>
        <v>-53.837782077986105</v>
      </c>
      <c r="CX15" s="4">
        <f t="shared" si="73"/>
        <v>-87.837782077986105</v>
      </c>
      <c r="CY15" s="4">
        <f t="shared" si="74"/>
        <v>7.1622179220138928</v>
      </c>
      <c r="CZ15" s="4">
        <f t="shared" si="74"/>
        <v>-86.837782077986105</v>
      </c>
      <c r="DA15" s="4"/>
      <c r="DB15" s="4"/>
      <c r="DC15" s="4"/>
      <c r="DD15" s="4"/>
      <c r="DE15" s="1">
        <f>VLOOKUP(B15,[1]Ranking!$C$3:$BM$19, 34, FALSE)</f>
        <v>46</v>
      </c>
      <c r="DF15" s="4">
        <f>VLOOKUP(B15,[1]Ranking!$C$3:$BM$19, 63, FALSE)</f>
        <v>513.46202441263904</v>
      </c>
      <c r="DG15" s="4">
        <f t="shared" si="76"/>
        <v>11.162217922013893</v>
      </c>
    </row>
    <row r="16" spans="1:111" x14ac:dyDescent="0.3">
      <c r="A16" s="1">
        <v>14</v>
      </c>
      <c r="B16" s="1" t="str">
        <f>VLOOKUP(A16,[1]Ranking!$W$3:$AA$19, 5, FALSE)</f>
        <v>McEnroe</v>
      </c>
      <c r="D16" s="3">
        <f t="shared" ca="1" si="20"/>
        <v>0.76006149202803597</v>
      </c>
      <c r="E16" s="1">
        <f t="shared" ca="1" si="21"/>
        <v>6</v>
      </c>
      <c r="F16" s="1" t="str">
        <f t="shared" si="77"/>
        <v>McEnroe</v>
      </c>
      <c r="G16" s="1">
        <f>VLOOKUP($B16,[1]Data!$C$3:$Z$86,G$1, FALSE)</f>
        <v>0</v>
      </c>
      <c r="H16" s="1">
        <f>VLOOKUP($B16,[1]Data!$C$3:$Z$86,H$1, FALSE)</f>
        <v>0</v>
      </c>
      <c r="I16" s="1">
        <f>VLOOKUP($B16,[1]Data!$C$3:$Z$86,I$1, FALSE)</f>
        <v>0</v>
      </c>
      <c r="J16" s="1">
        <f>VLOOKUP($B16,[1]Data!$C$3:$Z$86,J$1, FALSE)</f>
        <v>0</v>
      </c>
      <c r="K16" s="1">
        <f>VLOOKUP($B16,[1]Data!$C$3:$Z$86,K$1, FALSE)</f>
        <v>0</v>
      </c>
      <c r="L16" s="1">
        <f>VLOOKUP($B16,[1]Data!$C$3:$Z$86,L$1, FALSE)</f>
        <v>0</v>
      </c>
      <c r="M16" s="1">
        <f>VLOOKUP($B16,[1]Data!$C$3:$Z$86,M$1, FALSE)</f>
        <v>131</v>
      </c>
      <c r="N16" s="1">
        <f>VLOOKUP($B16,[1]Data!$C$3:$Z$86,N$1, FALSE)</f>
        <v>0</v>
      </c>
      <c r="O16" s="1">
        <f>VLOOKUP($B16,[1]Data!$C$3:$Z$86,O$1, FALSE)</f>
        <v>65</v>
      </c>
      <c r="P16" s="1">
        <f>VLOOKUP($B16,[1]Data!$C$3:$Z$86,P$1, FALSE)</f>
        <v>0</v>
      </c>
      <c r="Q16" s="1">
        <f>VLOOKUP($B16,[1]Data!$C$3:$Z$86,Q$1, FALSE)</f>
        <v>0</v>
      </c>
      <c r="R16" s="1">
        <f>VLOOKUP($B16,[1]Data!$C$3:$Z$86,R$1, FALSE)</f>
        <v>0</v>
      </c>
      <c r="S16" s="1">
        <f>VLOOKUP($B16,[1]Data!$C$3:$Z$86,S$1, FALSE)</f>
        <v>138</v>
      </c>
      <c r="T16" s="1">
        <f>VLOOKUP($B16,[1]Data!$C$3:$Z$86,T$1, FALSE)</f>
        <v>6</v>
      </c>
      <c r="U16" s="1">
        <f>VLOOKUP($B16,[1]Data!$C$3:$Z$86,U$1, FALSE)</f>
        <v>0</v>
      </c>
      <c r="V16" s="1">
        <f>VLOOKUP($B16,[1]Data!$C$3:$Z$86,V$1, FALSE)</f>
        <v>228</v>
      </c>
      <c r="W16" s="1">
        <f>VLOOKUP($B16,[1]Data!$C$3:$Z$86,W$1, FALSE)</f>
        <v>0</v>
      </c>
      <c r="X16" s="1">
        <f>VLOOKUP($B16,[1]Data!$C$3:$Z$86,X$1, FALSE)</f>
        <v>0</v>
      </c>
      <c r="Y16" s="1">
        <f>VLOOKUP($B16,[1]Data!$C$3:$Z$86,Y$1, FALSE)</f>
        <v>0</v>
      </c>
      <c r="Z16" s="1">
        <f>VLOOKUP($B16,[1]Data!$C$3:$Z$86,Z$1, FALSE)</f>
        <v>0</v>
      </c>
      <c r="AA16" s="1">
        <f>VLOOKUP($B16,[1]Data!$C$3:$Z$86,AA$1, FALSE)</f>
        <v>0</v>
      </c>
      <c r="AB16" s="1">
        <f>VLOOKUP($B16,[1]Data!$C$3:$Z$86,AB$1, FALSE)</f>
        <v>0</v>
      </c>
      <c r="AC16" s="1">
        <f>VLOOKUP($B16,[1]Data!$C$3:$Z$86,AC$1, FALSE)</f>
        <v>0</v>
      </c>
      <c r="AE16" s="1">
        <f t="shared" si="22"/>
        <v>6</v>
      </c>
      <c r="AF16" s="1">
        <f t="shared" si="23"/>
        <v>6</v>
      </c>
      <c r="AG16" s="1">
        <f t="shared" si="24"/>
        <v>6</v>
      </c>
      <c r="AH16" s="1">
        <f t="shared" si="25"/>
        <v>6</v>
      </c>
      <c r="AI16" s="1">
        <f t="shared" si="26"/>
        <v>6</v>
      </c>
      <c r="AJ16" s="1">
        <f t="shared" si="27"/>
        <v>6</v>
      </c>
      <c r="AK16" s="1">
        <f t="shared" si="28"/>
        <v>3</v>
      </c>
      <c r="AL16" s="1">
        <f t="shared" si="29"/>
        <v>6</v>
      </c>
      <c r="AM16" s="1">
        <f t="shared" si="30"/>
        <v>4</v>
      </c>
      <c r="AN16" s="1">
        <f t="shared" si="31"/>
        <v>6</v>
      </c>
      <c r="AO16" s="1">
        <f t="shared" si="32"/>
        <v>6</v>
      </c>
      <c r="AP16" s="1">
        <f t="shared" si="33"/>
        <v>6</v>
      </c>
      <c r="AQ16" s="1">
        <f t="shared" si="34"/>
        <v>2</v>
      </c>
      <c r="AR16" s="1">
        <f t="shared" si="35"/>
        <v>5</v>
      </c>
      <c r="AS16" s="1">
        <f t="shared" si="36"/>
        <v>6</v>
      </c>
      <c r="AT16" s="1">
        <f t="shared" si="37"/>
        <v>1</v>
      </c>
      <c r="AU16" s="1">
        <f t="shared" si="38"/>
        <v>6</v>
      </c>
      <c r="AV16" s="1">
        <f t="shared" si="39"/>
        <v>6</v>
      </c>
      <c r="AW16" s="1">
        <f t="shared" si="40"/>
        <v>6</v>
      </c>
      <c r="AX16" s="1">
        <f t="shared" si="41"/>
        <v>6</v>
      </c>
      <c r="AY16" s="1">
        <f t="shared" si="42"/>
        <v>6</v>
      </c>
      <c r="AZ16" s="1">
        <f t="shared" si="43"/>
        <v>6</v>
      </c>
      <c r="BA16" s="1">
        <f t="shared" si="44"/>
        <v>6</v>
      </c>
      <c r="BC16" s="1" t="str">
        <f t="shared" si="45"/>
        <v/>
      </c>
      <c r="BD16" s="1" t="str">
        <f t="shared" si="46"/>
        <v/>
      </c>
      <c r="BE16" s="1" t="str">
        <f t="shared" si="47"/>
        <v/>
      </c>
      <c r="BF16" s="1" t="str">
        <f t="shared" si="48"/>
        <v/>
      </c>
      <c r="BG16" s="1" t="str">
        <f t="shared" si="49"/>
        <v/>
      </c>
      <c r="BH16" s="1" t="str">
        <f t="shared" si="50"/>
        <v/>
      </c>
      <c r="BI16" s="1">
        <f t="shared" si="51"/>
        <v>131</v>
      </c>
      <c r="BJ16" s="1" t="str">
        <f t="shared" si="52"/>
        <v/>
      </c>
      <c r="BK16" s="1">
        <f t="shared" si="53"/>
        <v>65</v>
      </c>
      <c r="BL16" s="1" t="str">
        <f t="shared" si="54"/>
        <v/>
      </c>
      <c r="BM16" s="1" t="str">
        <f t="shared" si="55"/>
        <v/>
      </c>
      <c r="BN16" s="1" t="str">
        <f t="shared" si="56"/>
        <v/>
      </c>
      <c r="BO16" s="1">
        <f t="shared" si="57"/>
        <v>138</v>
      </c>
      <c r="BP16" s="1">
        <f t="shared" si="58"/>
        <v>6</v>
      </c>
      <c r="BQ16" s="1" t="str">
        <f t="shared" si="59"/>
        <v/>
      </c>
      <c r="BR16" s="1">
        <f t="shared" si="78"/>
        <v>228</v>
      </c>
      <c r="BS16" s="1" t="str">
        <f t="shared" si="60"/>
        <v/>
      </c>
      <c r="BT16" s="1" t="str">
        <f t="shared" si="61"/>
        <v/>
      </c>
      <c r="BU16" s="1" t="str">
        <f t="shared" si="62"/>
        <v/>
      </c>
      <c r="BV16" s="1" t="str">
        <f t="shared" si="63"/>
        <v/>
      </c>
      <c r="BZ16" s="1">
        <f>BI16</f>
        <v>131</v>
      </c>
      <c r="CA16" s="1">
        <f>BK16</f>
        <v>65</v>
      </c>
      <c r="CB16" s="1">
        <f>BO16</f>
        <v>138</v>
      </c>
      <c r="CC16" s="1">
        <f>BP16</f>
        <v>6</v>
      </c>
      <c r="CD16" s="1">
        <f>BR16</f>
        <v>228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O16" s="1" t="str">
        <f t="shared" si="65"/>
        <v>McEnroe</v>
      </c>
      <c r="CP16" s="4">
        <f t="shared" si="81"/>
        <v>142.16221792201389</v>
      </c>
      <c r="CQ16" s="4">
        <f t="shared" si="66"/>
        <v>76.162217922013895</v>
      </c>
      <c r="CR16" s="4">
        <f t="shared" si="67"/>
        <v>149.16221792201389</v>
      </c>
      <c r="CS16" s="4">
        <f t="shared" si="68"/>
        <v>17.162217922013891</v>
      </c>
      <c r="CT16" s="4">
        <f t="shared" si="69"/>
        <v>239.16221792201389</v>
      </c>
      <c r="CU16" s="4">
        <f t="shared" si="70"/>
        <v>11.162217922013891</v>
      </c>
      <c r="CV16" s="4">
        <f t="shared" si="71"/>
        <v>11.162217922013891</v>
      </c>
      <c r="CW16" s="4">
        <f t="shared" si="72"/>
        <v>11.162217922013891</v>
      </c>
      <c r="CX16" s="4">
        <f t="shared" si="73"/>
        <v>11.162217922013891</v>
      </c>
      <c r="CY16" s="4">
        <f t="shared" si="74"/>
        <v>11.162217922013891</v>
      </c>
      <c r="CZ16" s="4"/>
      <c r="DA16" s="4"/>
      <c r="DB16" s="4"/>
      <c r="DC16" s="4"/>
      <c r="DD16" s="4"/>
      <c r="DE16" s="1">
        <f>VLOOKUP(B16,[1]Ranking!$C$3:$BM$19, 34, FALSE)</f>
        <v>45</v>
      </c>
      <c r="DF16" s="4">
        <f>VLOOKUP(B16,[1]Ranking!$C$3:$BM$19, 63, FALSE)</f>
        <v>502.29980649062509</v>
      </c>
      <c r="DG16" s="4">
        <f t="shared" si="76"/>
        <v>11.162217922013891</v>
      </c>
    </row>
    <row r="17" spans="1:143" x14ac:dyDescent="0.3">
      <c r="A17" s="1">
        <v>15</v>
      </c>
      <c r="B17" s="1" t="str">
        <f>VLOOKUP(A17,[1]Ranking!$W$3:$AA$19, 5, FALSE)</f>
        <v>Connors</v>
      </c>
      <c r="D17" s="3">
        <f t="shared" ca="1" si="20"/>
        <v>0.26851866348660336</v>
      </c>
      <c r="E17" s="1">
        <f t="shared" ca="1" si="21"/>
        <v>11</v>
      </c>
      <c r="F17" s="1" t="str">
        <f t="shared" si="77"/>
        <v>Connors</v>
      </c>
      <c r="G17" s="1">
        <f>VLOOKUP($B17,[1]Data!$C$3:$Z$86,G$1, FALSE)</f>
        <v>0</v>
      </c>
      <c r="H17" s="1">
        <f>VLOOKUP($B17,[1]Data!$C$3:$Z$86,H$1, FALSE)</f>
        <v>0</v>
      </c>
      <c r="I17" s="1">
        <f>VLOOKUP($B17,[1]Data!$C$3:$Z$86,I$1, FALSE)</f>
        <v>0</v>
      </c>
      <c r="J17" s="1">
        <f>VLOOKUP($B17,[1]Data!$C$3:$Z$86,J$1, FALSE)</f>
        <v>0</v>
      </c>
      <c r="K17" s="1">
        <f>VLOOKUP($B17,[1]Data!$C$3:$Z$86,K$1, FALSE)</f>
        <v>254</v>
      </c>
      <c r="L17" s="1">
        <f>VLOOKUP($B17,[1]Data!$C$3:$Z$86,L$1, FALSE)</f>
        <v>147</v>
      </c>
      <c r="M17" s="1">
        <f>VLOOKUP($B17,[1]Data!$C$3:$Z$86,M$1, FALSE)</f>
        <v>0</v>
      </c>
      <c r="N17" s="1">
        <f>VLOOKUP($B17,[1]Data!$C$3:$Z$86,N$1, FALSE)</f>
        <v>0</v>
      </c>
      <c r="O17" s="1">
        <f>VLOOKUP($B17,[1]Data!$C$3:$Z$86,O$1, FALSE)</f>
        <v>0</v>
      </c>
      <c r="P17" s="1">
        <f>VLOOKUP($B17,[1]Data!$C$3:$Z$86,P$1, FALSE)</f>
        <v>0</v>
      </c>
      <c r="Q17" s="1">
        <f>VLOOKUP($B17,[1]Data!$C$3:$Z$86,Q$1, FALSE)</f>
        <v>0</v>
      </c>
      <c r="R17" s="1">
        <f>VLOOKUP($B17,[1]Data!$C$3:$Z$86,R$1, FALSE)</f>
        <v>0</v>
      </c>
      <c r="S17" s="1">
        <f>VLOOKUP($B17,[1]Data!$C$3:$Z$86,S$1, FALSE)</f>
        <v>0</v>
      </c>
      <c r="T17" s="1">
        <f>VLOOKUP($B17,[1]Data!$C$3:$Z$86,T$1, FALSE)</f>
        <v>0</v>
      </c>
      <c r="U17" s="1">
        <f>VLOOKUP($B17,[1]Data!$C$3:$Z$86,U$1, FALSE)</f>
        <v>0</v>
      </c>
      <c r="V17" s="1">
        <f>VLOOKUP($B17,[1]Data!$C$3:$Z$86,V$1, FALSE)</f>
        <v>0</v>
      </c>
      <c r="W17" s="1">
        <f>VLOOKUP($B17,[1]Data!$C$3:$Z$86,W$1, FALSE)</f>
        <v>0</v>
      </c>
      <c r="X17" s="1">
        <f>VLOOKUP($B17,[1]Data!$C$3:$Z$86,X$1, FALSE)</f>
        <v>0</v>
      </c>
      <c r="Y17" s="1">
        <f>VLOOKUP($B17,[1]Data!$C$3:$Z$86,Y$1, FALSE)</f>
        <v>0</v>
      </c>
      <c r="Z17" s="1">
        <f>VLOOKUP($B17,[1]Data!$C$3:$Z$86,Z$1, FALSE)</f>
        <v>0</v>
      </c>
      <c r="AA17" s="1">
        <f>VLOOKUP($B17,[1]Data!$C$3:$Z$86,AA$1, FALSE)</f>
        <v>0</v>
      </c>
      <c r="AB17" s="1">
        <f>VLOOKUP($B17,[1]Data!$C$3:$Z$86,AB$1, FALSE)</f>
        <v>0</v>
      </c>
      <c r="AC17" s="1">
        <f>VLOOKUP($B17,[1]Data!$C$3:$Z$86,AC$1, FALSE)</f>
        <v>0</v>
      </c>
      <c r="AE17" s="1">
        <f t="shared" si="22"/>
        <v>3</v>
      </c>
      <c r="AF17" s="1">
        <f t="shared" si="23"/>
        <v>3</v>
      </c>
      <c r="AG17" s="1">
        <f t="shared" si="24"/>
        <v>3</v>
      </c>
      <c r="AH17" s="1">
        <f t="shared" si="25"/>
        <v>3</v>
      </c>
      <c r="AI17" s="1">
        <f t="shared" si="26"/>
        <v>1</v>
      </c>
      <c r="AJ17" s="1">
        <f t="shared" si="27"/>
        <v>2</v>
      </c>
      <c r="AK17" s="1">
        <f t="shared" si="28"/>
        <v>3</v>
      </c>
      <c r="AL17" s="1">
        <f t="shared" si="29"/>
        <v>3</v>
      </c>
      <c r="AM17" s="1">
        <f t="shared" si="30"/>
        <v>3</v>
      </c>
      <c r="AN17" s="1">
        <f t="shared" si="31"/>
        <v>3</v>
      </c>
      <c r="AO17" s="1">
        <f t="shared" si="32"/>
        <v>3</v>
      </c>
      <c r="AP17" s="1">
        <f t="shared" si="33"/>
        <v>3</v>
      </c>
      <c r="AQ17" s="1">
        <f t="shared" si="34"/>
        <v>3</v>
      </c>
      <c r="AR17" s="1">
        <f t="shared" si="35"/>
        <v>3</v>
      </c>
      <c r="AS17" s="1">
        <f t="shared" si="36"/>
        <v>3</v>
      </c>
      <c r="AT17" s="1">
        <f t="shared" si="37"/>
        <v>3</v>
      </c>
      <c r="AU17" s="1">
        <f t="shared" si="38"/>
        <v>3</v>
      </c>
      <c r="AV17" s="1">
        <f t="shared" si="39"/>
        <v>3</v>
      </c>
      <c r="AW17" s="1">
        <f t="shared" si="40"/>
        <v>3</v>
      </c>
      <c r="AX17" s="1">
        <f t="shared" si="41"/>
        <v>3</v>
      </c>
      <c r="AY17" s="1">
        <f t="shared" si="42"/>
        <v>3</v>
      </c>
      <c r="AZ17" s="1">
        <f t="shared" si="43"/>
        <v>3</v>
      </c>
      <c r="BA17" s="1">
        <f t="shared" si="44"/>
        <v>3</v>
      </c>
      <c r="BC17" s="1" t="str">
        <f t="shared" si="45"/>
        <v/>
      </c>
      <c r="BD17" s="1" t="str">
        <f t="shared" si="46"/>
        <v/>
      </c>
      <c r="BE17" s="1" t="str">
        <f t="shared" si="47"/>
        <v/>
      </c>
      <c r="BF17" s="1" t="str">
        <f t="shared" si="48"/>
        <v/>
      </c>
      <c r="BG17" s="1">
        <f t="shared" si="49"/>
        <v>254</v>
      </c>
      <c r="BH17" s="1">
        <f t="shared" si="50"/>
        <v>147</v>
      </c>
      <c r="BI17" s="1" t="str">
        <f t="shared" si="51"/>
        <v/>
      </c>
      <c r="BJ17" s="1" t="str">
        <f t="shared" si="52"/>
        <v/>
      </c>
      <c r="BK17" s="1" t="str">
        <f t="shared" si="53"/>
        <v/>
      </c>
      <c r="BL17" s="1" t="str">
        <f t="shared" si="54"/>
        <v/>
      </c>
      <c r="BM17" s="1" t="str">
        <f t="shared" si="55"/>
        <v/>
      </c>
      <c r="BN17" s="1" t="str">
        <f t="shared" si="56"/>
        <v/>
      </c>
      <c r="BO17" s="1" t="str">
        <f t="shared" si="57"/>
        <v/>
      </c>
      <c r="BP17" s="1" t="str">
        <f t="shared" si="58"/>
        <v/>
      </c>
      <c r="BQ17" s="1" t="str">
        <f t="shared" si="59"/>
        <v/>
      </c>
      <c r="BR17" s="1" t="str">
        <f t="shared" si="78"/>
        <v/>
      </c>
      <c r="BS17" s="1" t="str">
        <f t="shared" si="60"/>
        <v/>
      </c>
      <c r="BT17" s="1" t="str">
        <f t="shared" si="61"/>
        <v/>
      </c>
      <c r="BU17" s="1" t="str">
        <f t="shared" si="62"/>
        <v/>
      </c>
      <c r="BV17" s="1" t="str">
        <f t="shared" si="63"/>
        <v/>
      </c>
      <c r="BZ17" s="1">
        <f>BG17</f>
        <v>254</v>
      </c>
      <c r="CA17" s="1">
        <f>BH17</f>
        <v>147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O17" s="1" t="str">
        <f t="shared" si="65"/>
        <v>Connors</v>
      </c>
      <c r="CP17" s="4">
        <f t="shared" si="81"/>
        <v>265.16221792201389</v>
      </c>
      <c r="CQ17" s="4">
        <f t="shared" si="66"/>
        <v>158.16221792201389</v>
      </c>
      <c r="CR17" s="4">
        <f t="shared" si="67"/>
        <v>11.162217922013888</v>
      </c>
      <c r="CS17" s="4">
        <f t="shared" si="68"/>
        <v>11.162217922013888</v>
      </c>
      <c r="CT17" s="4">
        <f t="shared" si="69"/>
        <v>11.162217922013888</v>
      </c>
      <c r="CU17" s="4">
        <f t="shared" si="70"/>
        <v>11.162217922013888</v>
      </c>
      <c r="CV17" s="4">
        <f t="shared" si="71"/>
        <v>11.162217922013888</v>
      </c>
      <c r="CW17" s="4">
        <f t="shared" si="72"/>
        <v>11.162217922013888</v>
      </c>
      <c r="CX17" s="4">
        <f t="shared" si="73"/>
        <v>11.162217922013888</v>
      </c>
      <c r="CY17" s="4">
        <f t="shared" si="74"/>
        <v>11.162217922013888</v>
      </c>
      <c r="CZ17" s="4"/>
      <c r="DA17" s="4"/>
      <c r="DB17" s="4"/>
      <c r="DC17" s="4"/>
      <c r="DD17" s="4"/>
      <c r="DE17" s="1">
        <f>VLOOKUP(B17,[1]Ranking!$C$3:$BM$19, 34, FALSE)</f>
        <v>57</v>
      </c>
      <c r="DF17" s="4">
        <f>VLOOKUP(B17,[1]Ranking!$C$3:$BM$19, 63, FALSE)</f>
        <v>636.2464215547916</v>
      </c>
      <c r="DG17" s="4">
        <f t="shared" si="76"/>
        <v>11.162217922013888</v>
      </c>
    </row>
    <row r="18" spans="1:143" x14ac:dyDescent="0.3">
      <c r="A18" s="1">
        <v>16</v>
      </c>
      <c r="B18" s="1" t="str">
        <f>VLOOKUP(A18,[1]Ranking!$W$3:$AA$19, 5, FALSE)</f>
        <v>Borg</v>
      </c>
      <c r="D18" s="3">
        <f t="shared" ca="1" si="20"/>
        <v>0.20699977671816416</v>
      </c>
      <c r="E18" s="1">
        <f t="shared" ca="1" si="21"/>
        <v>12</v>
      </c>
      <c r="F18" s="1" t="str">
        <f t="shared" si="77"/>
        <v>Borg</v>
      </c>
      <c r="G18" s="1">
        <f>VLOOKUP($B18,[1]Data!$C$3:$Z$86,G$1, FALSE)</f>
        <v>0</v>
      </c>
      <c r="H18" s="1">
        <f>VLOOKUP($B18,[1]Data!$C$3:$Z$86,H$1, FALSE)</f>
        <v>32</v>
      </c>
      <c r="I18" s="1">
        <f>VLOOKUP($B18,[1]Data!$C$3:$Z$86,I$1, FALSE)</f>
        <v>0</v>
      </c>
      <c r="J18" s="1">
        <f>VLOOKUP($B18,[1]Data!$C$3:$Z$86,J$1, FALSE)</f>
        <v>0</v>
      </c>
      <c r="K18" s="1">
        <f>VLOOKUP($B18,[1]Data!$C$3:$Z$86,K$1, FALSE)</f>
        <v>0</v>
      </c>
      <c r="L18" s="1">
        <f>VLOOKUP($B18,[1]Data!$C$3:$Z$86,L$1, FALSE)</f>
        <v>0</v>
      </c>
      <c r="M18" s="1">
        <f>VLOOKUP($B18,[1]Data!$C$3:$Z$86,M$1, FALSE)</f>
        <v>0</v>
      </c>
      <c r="N18" s="1">
        <f>VLOOKUP($B18,[1]Data!$C$3:$Z$86,N$1, FALSE)</f>
        <v>0</v>
      </c>
      <c r="O18" s="1">
        <f>VLOOKUP($B18,[1]Data!$C$3:$Z$86,O$1, FALSE)</f>
        <v>0</v>
      </c>
      <c r="P18" s="1">
        <f>VLOOKUP($B18,[1]Data!$C$3:$Z$86,P$1, FALSE)</f>
        <v>0</v>
      </c>
      <c r="Q18" s="1">
        <f>VLOOKUP($B18,[1]Data!$C$3:$Z$86,Q$1, FALSE)</f>
        <v>0</v>
      </c>
      <c r="R18" s="1">
        <f>VLOOKUP($B18,[1]Data!$C$3:$Z$86,R$1, FALSE)</f>
        <v>0</v>
      </c>
      <c r="S18" s="1">
        <f>VLOOKUP($B18,[1]Data!$C$3:$Z$86,S$1, FALSE)</f>
        <v>0</v>
      </c>
      <c r="T18" s="1">
        <f>VLOOKUP($B18,[1]Data!$C$3:$Z$86,T$1, FALSE)</f>
        <v>0</v>
      </c>
      <c r="U18" s="1">
        <f>VLOOKUP($B18,[1]Data!$C$3:$Z$86,U$1, FALSE)</f>
        <v>0</v>
      </c>
      <c r="V18" s="1">
        <f>VLOOKUP($B18,[1]Data!$C$3:$Z$86,V$1, FALSE)</f>
        <v>0</v>
      </c>
      <c r="W18" s="1">
        <f>VLOOKUP($B18,[1]Data!$C$3:$Z$86,W$1, FALSE)</f>
        <v>0</v>
      </c>
      <c r="X18" s="1">
        <f>VLOOKUP($B18,[1]Data!$C$3:$Z$86,X$1, FALSE)</f>
        <v>0</v>
      </c>
      <c r="Y18" s="1">
        <f>VLOOKUP($B18,[1]Data!$C$3:$Z$86,Y$1, FALSE)</f>
        <v>0</v>
      </c>
      <c r="Z18" s="1">
        <f>VLOOKUP($B18,[1]Data!$C$3:$Z$86,Z$1, FALSE)</f>
        <v>0</v>
      </c>
      <c r="AA18" s="1">
        <f>VLOOKUP($B18,[1]Data!$C$3:$Z$86,AA$1, FALSE)</f>
        <v>0</v>
      </c>
      <c r="AB18" s="1">
        <f>VLOOKUP($B18,[1]Data!$C$3:$Z$86,AB$1, FALSE)</f>
        <v>0</v>
      </c>
      <c r="AC18" s="1">
        <f>VLOOKUP($B18,[1]Data!$C$3:$Z$86,AC$1, FALSE)</f>
        <v>0</v>
      </c>
      <c r="AE18" s="1">
        <f t="shared" si="22"/>
        <v>2</v>
      </c>
      <c r="AF18" s="1">
        <f t="shared" si="23"/>
        <v>1</v>
      </c>
      <c r="AG18" s="1">
        <f t="shared" si="24"/>
        <v>2</v>
      </c>
      <c r="AH18" s="1">
        <f t="shared" si="25"/>
        <v>2</v>
      </c>
      <c r="AI18" s="1">
        <f t="shared" si="26"/>
        <v>2</v>
      </c>
      <c r="AJ18" s="1">
        <f t="shared" si="27"/>
        <v>2</v>
      </c>
      <c r="AK18" s="1">
        <f t="shared" si="28"/>
        <v>2</v>
      </c>
      <c r="AL18" s="1">
        <f t="shared" si="29"/>
        <v>2</v>
      </c>
      <c r="AM18" s="1">
        <f t="shared" si="30"/>
        <v>2</v>
      </c>
      <c r="AN18" s="1">
        <f t="shared" si="31"/>
        <v>2</v>
      </c>
      <c r="AO18" s="1">
        <f t="shared" si="32"/>
        <v>2</v>
      </c>
      <c r="AP18" s="1">
        <f t="shared" si="33"/>
        <v>2</v>
      </c>
      <c r="AQ18" s="1">
        <f t="shared" si="34"/>
        <v>2</v>
      </c>
      <c r="AR18" s="1">
        <f t="shared" si="35"/>
        <v>2</v>
      </c>
      <c r="AS18" s="1">
        <f t="shared" si="36"/>
        <v>2</v>
      </c>
      <c r="AT18" s="1">
        <f t="shared" si="37"/>
        <v>2</v>
      </c>
      <c r="AU18" s="1">
        <f t="shared" si="38"/>
        <v>2</v>
      </c>
      <c r="AV18" s="1">
        <f t="shared" si="39"/>
        <v>2</v>
      </c>
      <c r="AW18" s="1">
        <f t="shared" si="40"/>
        <v>2</v>
      </c>
      <c r="AX18" s="1">
        <f t="shared" si="41"/>
        <v>2</v>
      </c>
      <c r="AY18" s="1">
        <f t="shared" si="42"/>
        <v>2</v>
      </c>
      <c r="AZ18" s="1">
        <f t="shared" si="43"/>
        <v>2</v>
      </c>
      <c r="BA18" s="1">
        <f t="shared" si="44"/>
        <v>2</v>
      </c>
      <c r="BC18" s="1" t="str">
        <f t="shared" si="45"/>
        <v/>
      </c>
      <c r="BD18" s="1">
        <f t="shared" si="46"/>
        <v>32</v>
      </c>
      <c r="BE18" s="1" t="str">
        <f t="shared" si="47"/>
        <v/>
      </c>
      <c r="BF18" s="1" t="str">
        <f t="shared" si="48"/>
        <v/>
      </c>
      <c r="BG18" s="1" t="str">
        <f t="shared" si="49"/>
        <v/>
      </c>
      <c r="BH18" s="1" t="str">
        <f t="shared" si="50"/>
        <v/>
      </c>
      <c r="BI18" s="1" t="str">
        <f t="shared" si="51"/>
        <v/>
      </c>
      <c r="BJ18" s="1" t="str">
        <f t="shared" si="52"/>
        <v/>
      </c>
      <c r="BK18" s="1" t="str">
        <f t="shared" si="53"/>
        <v/>
      </c>
      <c r="BL18" s="1" t="str">
        <f t="shared" si="54"/>
        <v/>
      </c>
      <c r="BM18" s="1" t="str">
        <f t="shared" si="55"/>
        <v/>
      </c>
      <c r="BN18" s="1" t="str">
        <f t="shared" si="56"/>
        <v/>
      </c>
      <c r="BO18" s="1" t="str">
        <f t="shared" si="57"/>
        <v/>
      </c>
      <c r="BP18" s="1" t="str">
        <f t="shared" si="58"/>
        <v/>
      </c>
      <c r="BQ18" s="1" t="str">
        <f t="shared" si="59"/>
        <v/>
      </c>
      <c r="BR18" s="1" t="str">
        <f t="shared" si="78"/>
        <v/>
      </c>
      <c r="BS18" s="1" t="str">
        <f t="shared" si="60"/>
        <v/>
      </c>
      <c r="BT18" s="1" t="str">
        <f t="shared" si="61"/>
        <v/>
      </c>
      <c r="BU18" s="1" t="str">
        <f t="shared" si="62"/>
        <v/>
      </c>
      <c r="BV18" s="1" t="str">
        <f t="shared" si="63"/>
        <v/>
      </c>
      <c r="BZ18" s="1">
        <f>BD18</f>
        <v>32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O18" s="1" t="str">
        <f t="shared" si="65"/>
        <v>Borg</v>
      </c>
      <c r="CP18" s="4">
        <f t="shared" si="81"/>
        <v>43.16221792201388</v>
      </c>
      <c r="CQ18" s="4">
        <f t="shared" si="66"/>
        <v>11.162217922013884</v>
      </c>
      <c r="CR18" s="4">
        <f t="shared" si="67"/>
        <v>11.162217922013884</v>
      </c>
      <c r="CS18" s="4">
        <f t="shared" si="68"/>
        <v>11.162217922013884</v>
      </c>
      <c r="CT18" s="4">
        <f t="shared" si="69"/>
        <v>11.162217922013884</v>
      </c>
      <c r="CU18" s="4">
        <f t="shared" si="70"/>
        <v>11.162217922013884</v>
      </c>
      <c r="CV18" s="4">
        <f t="shared" si="71"/>
        <v>11.162217922013884</v>
      </c>
      <c r="CW18" s="4">
        <f t="shared" si="72"/>
        <v>11.162217922013884</v>
      </c>
      <c r="CX18" s="4">
        <f t="shared" si="73"/>
        <v>11.162217922013884</v>
      </c>
      <c r="CY18" s="4">
        <f t="shared" si="74"/>
        <v>11.162217922013884</v>
      </c>
      <c r="CZ18" s="4"/>
      <c r="DA18" s="4"/>
      <c r="DB18" s="4"/>
      <c r="DC18" s="4"/>
      <c r="DD18" s="4"/>
      <c r="DE18" s="1">
        <f>VLOOKUP(B18,[1]Ranking!$C$3:$BM$19, 34, FALSE)</f>
        <v>27</v>
      </c>
      <c r="DF18" s="4">
        <f>VLOOKUP(B18,[1]Ranking!$C$3:$BM$19, 63, FALSE)</f>
        <v>301.37988389437487</v>
      </c>
      <c r="DG18" s="4">
        <f t="shared" si="76"/>
        <v>11.162217922013884</v>
      </c>
    </row>
    <row r="19" spans="1:143" x14ac:dyDescent="0.3">
      <c r="DH19" s="1">
        <v>2</v>
      </c>
      <c r="DI19" s="1">
        <v>3</v>
      </c>
      <c r="DJ19" s="1">
        <v>4</v>
      </c>
      <c r="DK19" s="1">
        <v>5</v>
      </c>
      <c r="DL19" s="1">
        <v>6</v>
      </c>
      <c r="DM19" s="1">
        <v>7</v>
      </c>
      <c r="DN19" s="1">
        <v>8</v>
      </c>
      <c r="DO19" s="1">
        <v>9</v>
      </c>
      <c r="DP19" s="1">
        <v>10</v>
      </c>
      <c r="DQ19" s="1">
        <v>11</v>
      </c>
      <c r="DR19" s="1">
        <v>12</v>
      </c>
      <c r="DS19" s="1">
        <v>13</v>
      </c>
      <c r="DT19" s="1">
        <v>14</v>
      </c>
      <c r="DU19" s="1">
        <v>15</v>
      </c>
      <c r="DV19" s="1">
        <v>16</v>
      </c>
    </row>
    <row r="20" spans="1:143" x14ac:dyDescent="0.3">
      <c r="DX20" s="1">
        <v>1</v>
      </c>
      <c r="DY20" s="1">
        <v>2</v>
      </c>
      <c r="DZ20" s="1">
        <v>3</v>
      </c>
      <c r="EA20" s="1">
        <v>4</v>
      </c>
      <c r="EB20" s="1">
        <v>5</v>
      </c>
      <c r="EC20" s="1">
        <v>6</v>
      </c>
      <c r="ED20" s="1">
        <v>7</v>
      </c>
      <c r="EE20" s="1">
        <v>8</v>
      </c>
      <c r="EF20" s="1">
        <v>9</v>
      </c>
      <c r="EG20" s="1">
        <v>10</v>
      </c>
      <c r="EH20" s="1">
        <v>11</v>
      </c>
      <c r="EI20" s="1">
        <v>12</v>
      </c>
      <c r="EJ20" s="1">
        <v>13</v>
      </c>
      <c r="EK20" s="1">
        <v>14</v>
      </c>
      <c r="EL20" s="1">
        <v>15</v>
      </c>
    </row>
    <row r="21" spans="1:143" x14ac:dyDescent="0.3">
      <c r="A21" s="1">
        <v>1</v>
      </c>
      <c r="B21" s="1" t="str">
        <f>VLOOKUP(A21,$A$2:$B$18, 2, FALSE)</f>
        <v>Federer</v>
      </c>
      <c r="DH21" s="1">
        <f t="shared" ref="DH21:DV21" si="85">VLOOKUP($B21,$CO$2:$DD$18,DH$19,FALSE)</f>
        <v>72.302878390064976</v>
      </c>
      <c r="DI21" s="1">
        <f t="shared" si="85"/>
        <v>335.30287839006496</v>
      </c>
      <c r="DJ21" s="1">
        <f t="shared" si="85"/>
        <v>168.30287839006499</v>
      </c>
      <c r="DK21" s="1">
        <f t="shared" si="85"/>
        <v>425.30287839006496</v>
      </c>
      <c r="DL21" s="1">
        <f t="shared" si="85"/>
        <v>550.30287839006496</v>
      </c>
      <c r="DM21" s="1">
        <f t="shared" si="85"/>
        <v>302.30287839006496</v>
      </c>
      <c r="DN21" s="1">
        <f t="shared" si="85"/>
        <v>428.30287839006496</v>
      </c>
      <c r="DO21" s="1">
        <f t="shared" si="85"/>
        <v>586.30287839006496</v>
      </c>
      <c r="DP21" s="1">
        <f t="shared" si="85"/>
        <v>300.30287839006496</v>
      </c>
      <c r="DQ21" s="1">
        <f t="shared" si="85"/>
        <v>207.30287839006499</v>
      </c>
      <c r="DR21" s="1">
        <f t="shared" si="85"/>
        <v>362.30287839006496</v>
      </c>
      <c r="DS21" s="1">
        <f t="shared" si="85"/>
        <v>222.30287839006499</v>
      </c>
      <c r="DT21" s="1">
        <f t="shared" si="85"/>
        <v>331.30287839006496</v>
      </c>
      <c r="DU21" s="1">
        <f t="shared" si="85"/>
        <v>468.30287839006496</v>
      </c>
      <c r="DV21" s="1">
        <f t="shared" si="85"/>
        <v>446.30287839006496</v>
      </c>
      <c r="DW21" s="1" t="str">
        <f>B21</f>
        <v>Federer</v>
      </c>
      <c r="DX21" s="1">
        <f t="shared" ref="DX21:DX36" si="86">IF(DH21=0, "",DH21)</f>
        <v>72.302878390064976</v>
      </c>
      <c r="DY21" s="1">
        <f t="shared" ref="DY21:EL21" si="87">IF(DI21=0, "",DI21)</f>
        <v>335.30287839006496</v>
      </c>
      <c r="DZ21" s="1">
        <f t="shared" si="87"/>
        <v>168.30287839006499</v>
      </c>
      <c r="EA21" s="1">
        <f t="shared" si="87"/>
        <v>425.30287839006496</v>
      </c>
      <c r="EB21" s="1">
        <f t="shared" si="87"/>
        <v>550.30287839006496</v>
      </c>
      <c r="EC21" s="1">
        <f t="shared" si="87"/>
        <v>302.30287839006496</v>
      </c>
      <c r="ED21" s="1">
        <f t="shared" si="87"/>
        <v>428.30287839006496</v>
      </c>
      <c r="EE21" s="1">
        <f t="shared" si="87"/>
        <v>586.30287839006496</v>
      </c>
      <c r="EF21" s="1">
        <f t="shared" si="87"/>
        <v>300.30287839006496</v>
      </c>
      <c r="EG21" s="1">
        <f t="shared" si="87"/>
        <v>207.30287839006499</v>
      </c>
      <c r="EH21" s="1">
        <f t="shared" si="87"/>
        <v>362.30287839006496</v>
      </c>
      <c r="EI21" s="1">
        <f t="shared" si="87"/>
        <v>222.30287839006499</v>
      </c>
      <c r="EJ21" s="1">
        <f t="shared" si="87"/>
        <v>331.30287839006496</v>
      </c>
      <c r="EK21" s="1">
        <f t="shared" si="87"/>
        <v>468.30287839006496</v>
      </c>
      <c r="EL21" s="1">
        <f t="shared" si="87"/>
        <v>446.30287839006496</v>
      </c>
      <c r="EM21" s="1">
        <f t="shared" ref="EM21:EM36" si="88">COUNT(DX21:EL21)</f>
        <v>15</v>
      </c>
    </row>
    <row r="22" spans="1:143" x14ac:dyDescent="0.3">
      <c r="A22" s="6">
        <v>1</v>
      </c>
      <c r="B22" s="1" t="str">
        <f t="shared" ref="B22:B27" ca="1" si="89">VLOOKUP(A22,$E$2:$F$18, 2, FALSE)</f>
        <v>Becker</v>
      </c>
      <c r="DH22" s="1">
        <f t="shared" ref="DH22:DH36" ca="1" si="90">VLOOKUP($B22,$CO$2:$DD$18,DH$19,FALSE)</f>
        <v>179.16221792201389</v>
      </c>
      <c r="DI22" s="1">
        <f t="shared" ref="DI22:DV36" ca="1" si="91">VLOOKUP($B22,$CO$2:$DD$18,DI$19,FALSE)</f>
        <v>39.162217922013895</v>
      </c>
      <c r="DJ22" s="1">
        <f t="shared" ca="1" si="91"/>
        <v>185.16221792201389</v>
      </c>
      <c r="DK22" s="1">
        <f t="shared" ca="1" si="91"/>
        <v>328.16221792201389</v>
      </c>
      <c r="DL22" s="1">
        <f t="shared" ca="1" si="91"/>
        <v>15.162217922013893</v>
      </c>
      <c r="DM22" s="1">
        <f t="shared" ca="1" si="91"/>
        <v>495.16221792201389</v>
      </c>
      <c r="DN22" s="1">
        <f t="shared" ca="1" si="91"/>
        <v>-13.837782077986107</v>
      </c>
      <c r="DO22" s="1">
        <f t="shared" ca="1" si="91"/>
        <v>-53.837782077986105</v>
      </c>
      <c r="DP22" s="1">
        <f t="shared" ca="1" si="91"/>
        <v>-87.837782077986105</v>
      </c>
      <c r="DQ22" s="1">
        <f t="shared" ca="1" si="91"/>
        <v>7.1622179220138928</v>
      </c>
      <c r="DR22" s="1">
        <f t="shared" ca="1" si="91"/>
        <v>-86.837782077986105</v>
      </c>
      <c r="DS22" s="1">
        <f t="shared" ca="1" si="91"/>
        <v>0</v>
      </c>
      <c r="DT22" s="1">
        <f t="shared" ca="1" si="91"/>
        <v>0</v>
      </c>
      <c r="DU22" s="1">
        <f t="shared" ca="1" si="91"/>
        <v>0</v>
      </c>
      <c r="DV22" s="1">
        <f t="shared" ca="1" si="91"/>
        <v>0</v>
      </c>
      <c r="DW22" s="1" t="str">
        <f t="shared" ref="DW22:DW36" ca="1" si="92">B22</f>
        <v>Becker</v>
      </c>
      <c r="DX22" s="1">
        <f t="shared" ca="1" si="86"/>
        <v>179.16221792201389</v>
      </c>
      <c r="DY22" s="1">
        <f t="shared" ref="DY22:DY36" ca="1" si="93">IF(DI22=0, "",DI22)</f>
        <v>39.162217922013895</v>
      </c>
      <c r="DZ22" s="1">
        <f t="shared" ref="DZ22:DZ36" ca="1" si="94">IF(DJ22=0, "",DJ22)</f>
        <v>185.16221792201389</v>
      </c>
      <c r="EA22" s="1">
        <f t="shared" ref="EA22:EA36" ca="1" si="95">IF(DK22=0, "",DK22)</f>
        <v>328.16221792201389</v>
      </c>
      <c r="EB22" s="1">
        <f t="shared" ref="EB22:EB36" ca="1" si="96">IF(DL22=0, "",DL22)</f>
        <v>15.162217922013893</v>
      </c>
      <c r="EC22" s="1">
        <f t="shared" ref="EC22:EC36" ca="1" si="97">IF(DM22=0, "",DM22)</f>
        <v>495.16221792201389</v>
      </c>
      <c r="ED22" s="1">
        <f t="shared" ref="ED22:ED36" ca="1" si="98">IF(DN22=0, "",DN22)</f>
        <v>-13.837782077986107</v>
      </c>
      <c r="EE22" s="1">
        <f t="shared" ref="EE22:EE36" ca="1" si="99">IF(DO22=0, "",DO22)</f>
        <v>-53.837782077986105</v>
      </c>
      <c r="EF22" s="1">
        <f t="shared" ref="EF22:EF36" ca="1" si="100">IF(DP22=0, "",DP22)</f>
        <v>-87.837782077986105</v>
      </c>
      <c r="EG22" s="1">
        <f t="shared" ref="EG22:EG36" ca="1" si="101">IF(DQ22=0, "",DQ22)</f>
        <v>7.1622179220138928</v>
      </c>
      <c r="EH22" s="1">
        <f t="shared" ref="EH22:EH36" ca="1" si="102">IF(DR22=0, "",DR22)</f>
        <v>-86.837782077986105</v>
      </c>
      <c r="EI22" s="1" t="str">
        <f t="shared" ref="EI22:EI36" ca="1" si="103">IF(DS22=0, "",DS22)</f>
        <v/>
      </c>
      <c r="EJ22" s="1" t="str">
        <f t="shared" ref="EJ22:EJ36" ca="1" si="104">IF(DT22=0, "",DT22)</f>
        <v/>
      </c>
      <c r="EK22" s="1" t="str">
        <f t="shared" ref="EK22:EK36" ca="1" si="105">IF(DU22=0, "",DU22)</f>
        <v/>
      </c>
      <c r="EL22" s="1" t="str">
        <f t="shared" ref="EL22:EL36" ca="1" si="106">IF(DV22=0, "",DV22)</f>
        <v/>
      </c>
      <c r="EM22" s="1">
        <f t="shared" ca="1" si="88"/>
        <v>11</v>
      </c>
    </row>
    <row r="23" spans="1:143" x14ac:dyDescent="0.3">
      <c r="A23" s="6">
        <v>2</v>
      </c>
      <c r="B23" s="1" t="str">
        <f t="shared" ca="1" si="89"/>
        <v>Edberg</v>
      </c>
      <c r="DH23" s="1">
        <f t="shared" ca="1" si="90"/>
        <v>58.16221792201388</v>
      </c>
      <c r="DI23" s="1">
        <f t="shared" ca="1" si="91"/>
        <v>387.16221792201389</v>
      </c>
      <c r="DJ23" s="1">
        <f t="shared" ca="1" si="91"/>
        <v>363.16221792201389</v>
      </c>
      <c r="DK23" s="1">
        <f t="shared" ca="1" si="91"/>
        <v>146.16221792201389</v>
      </c>
      <c r="DL23" s="1">
        <f t="shared" ca="1" si="91"/>
        <v>159.16221792201389</v>
      </c>
      <c r="DM23" s="1">
        <f t="shared" ca="1" si="91"/>
        <v>297.16221792201389</v>
      </c>
      <c r="DN23" s="1">
        <f t="shared" ca="1" si="91"/>
        <v>153.16221792201389</v>
      </c>
      <c r="DO23" s="1">
        <f t="shared" ca="1" si="91"/>
        <v>258.16221792201389</v>
      </c>
      <c r="DP23" s="1">
        <f t="shared" ca="1" si="91"/>
        <v>333.16221792201389</v>
      </c>
      <c r="DQ23" s="1">
        <f t="shared" ca="1" si="91"/>
        <v>259.16221792201389</v>
      </c>
      <c r="DR23" s="1">
        <f t="shared" ca="1" si="91"/>
        <v>-85.83778207798612</v>
      </c>
      <c r="DS23" s="1">
        <f t="shared" ca="1" si="91"/>
        <v>7.162217922013884</v>
      </c>
      <c r="DT23" s="1">
        <f t="shared" ca="1" si="91"/>
        <v>0</v>
      </c>
      <c r="DU23" s="1">
        <f t="shared" ca="1" si="91"/>
        <v>0</v>
      </c>
      <c r="DV23" s="1">
        <f t="shared" ca="1" si="91"/>
        <v>0</v>
      </c>
      <c r="DW23" s="1" t="str">
        <f t="shared" ca="1" si="92"/>
        <v>Edberg</v>
      </c>
      <c r="DX23" s="1">
        <f t="shared" ca="1" si="86"/>
        <v>58.16221792201388</v>
      </c>
      <c r="DY23" s="1">
        <f t="shared" ca="1" si="93"/>
        <v>387.16221792201389</v>
      </c>
      <c r="DZ23" s="1">
        <f t="shared" ca="1" si="94"/>
        <v>363.16221792201389</v>
      </c>
      <c r="EA23" s="1">
        <f t="shared" ca="1" si="95"/>
        <v>146.16221792201389</v>
      </c>
      <c r="EB23" s="1">
        <f t="shared" ca="1" si="96"/>
        <v>159.16221792201389</v>
      </c>
      <c r="EC23" s="1">
        <f t="shared" ca="1" si="97"/>
        <v>297.16221792201389</v>
      </c>
      <c r="ED23" s="1">
        <f t="shared" ca="1" si="98"/>
        <v>153.16221792201389</v>
      </c>
      <c r="EE23" s="1">
        <f t="shared" ca="1" si="99"/>
        <v>258.16221792201389</v>
      </c>
      <c r="EF23" s="1">
        <f t="shared" ca="1" si="100"/>
        <v>333.16221792201389</v>
      </c>
      <c r="EG23" s="1">
        <f t="shared" ca="1" si="101"/>
        <v>259.16221792201389</v>
      </c>
      <c r="EH23" s="1">
        <f t="shared" ca="1" si="102"/>
        <v>-85.83778207798612</v>
      </c>
      <c r="EI23" s="1">
        <f t="shared" ca="1" si="103"/>
        <v>7.162217922013884</v>
      </c>
      <c r="EJ23" s="1" t="str">
        <f t="shared" ca="1" si="104"/>
        <v/>
      </c>
      <c r="EK23" s="1" t="str">
        <f t="shared" ca="1" si="105"/>
        <v/>
      </c>
      <c r="EL23" s="1" t="str">
        <f t="shared" ca="1" si="106"/>
        <v/>
      </c>
      <c r="EM23" s="1">
        <f t="shared" ca="1" si="88"/>
        <v>12</v>
      </c>
    </row>
    <row r="24" spans="1:143" x14ac:dyDescent="0.3">
      <c r="A24" s="6">
        <v>3</v>
      </c>
      <c r="B24" s="1" t="str">
        <f t="shared" ca="1" si="89"/>
        <v>Vilas</v>
      </c>
      <c r="DH24" s="1">
        <f t="shared" ca="1" si="90"/>
        <v>194.16221792201387</v>
      </c>
      <c r="DI24" s="1">
        <f t="shared" ca="1" si="91"/>
        <v>365.16221792201389</v>
      </c>
      <c r="DJ24" s="1">
        <f t="shared" ca="1" si="91"/>
        <v>501.16221792201389</v>
      </c>
      <c r="DK24" s="1">
        <f t="shared" ca="1" si="91"/>
        <v>144.16221792201387</v>
      </c>
      <c r="DL24" s="1">
        <f t="shared" ca="1" si="91"/>
        <v>33.16221792201388</v>
      </c>
      <c r="DM24" s="1">
        <f t="shared" ca="1" si="91"/>
        <v>11.162217922013877</v>
      </c>
      <c r="DN24" s="1">
        <f t="shared" ca="1" si="91"/>
        <v>11.162217922013877</v>
      </c>
      <c r="DO24" s="1">
        <f t="shared" ca="1" si="91"/>
        <v>11.162217922013877</v>
      </c>
      <c r="DP24" s="1">
        <f t="shared" ca="1" si="91"/>
        <v>11.162217922013877</v>
      </c>
      <c r="DQ24" s="1">
        <f t="shared" ca="1" si="91"/>
        <v>11.162217922013877</v>
      </c>
      <c r="DR24" s="1">
        <f t="shared" ca="1" si="91"/>
        <v>0</v>
      </c>
      <c r="DS24" s="1">
        <f t="shared" ca="1" si="91"/>
        <v>0</v>
      </c>
      <c r="DT24" s="1">
        <f t="shared" ca="1" si="91"/>
        <v>0</v>
      </c>
      <c r="DU24" s="1">
        <f t="shared" ca="1" si="91"/>
        <v>0</v>
      </c>
      <c r="DV24" s="1">
        <f t="shared" ca="1" si="91"/>
        <v>0</v>
      </c>
      <c r="DW24" s="1" t="str">
        <f t="shared" ca="1" si="92"/>
        <v>Vilas</v>
      </c>
      <c r="DX24" s="1">
        <f t="shared" ca="1" si="86"/>
        <v>194.16221792201387</v>
      </c>
      <c r="DY24" s="1">
        <f t="shared" ca="1" si="93"/>
        <v>365.16221792201389</v>
      </c>
      <c r="DZ24" s="1">
        <f t="shared" ca="1" si="94"/>
        <v>501.16221792201389</v>
      </c>
      <c r="EA24" s="1">
        <f t="shared" ca="1" si="95"/>
        <v>144.16221792201387</v>
      </c>
      <c r="EB24" s="1">
        <f t="shared" ca="1" si="96"/>
        <v>33.16221792201388</v>
      </c>
      <c r="EC24" s="1">
        <f t="shared" ca="1" si="97"/>
        <v>11.162217922013877</v>
      </c>
      <c r="ED24" s="1">
        <f t="shared" ca="1" si="98"/>
        <v>11.162217922013877</v>
      </c>
      <c r="EE24" s="1">
        <f t="shared" ca="1" si="99"/>
        <v>11.162217922013877</v>
      </c>
      <c r="EF24" s="1">
        <f t="shared" ca="1" si="100"/>
        <v>11.162217922013877</v>
      </c>
      <c r="EG24" s="1">
        <f t="shared" ca="1" si="101"/>
        <v>11.162217922013877</v>
      </c>
      <c r="EH24" s="1" t="str">
        <f t="shared" ca="1" si="102"/>
        <v/>
      </c>
      <c r="EI24" s="1" t="str">
        <f t="shared" ca="1" si="103"/>
        <v/>
      </c>
      <c r="EJ24" s="1" t="str">
        <f t="shared" ca="1" si="104"/>
        <v/>
      </c>
      <c r="EK24" s="1" t="str">
        <f t="shared" ca="1" si="105"/>
        <v/>
      </c>
      <c r="EL24" s="1" t="str">
        <f t="shared" ca="1" si="106"/>
        <v/>
      </c>
      <c r="EM24" s="1">
        <f t="shared" ca="1" si="88"/>
        <v>10</v>
      </c>
    </row>
    <row r="25" spans="1:143" x14ac:dyDescent="0.3">
      <c r="A25" s="6">
        <v>4</v>
      </c>
      <c r="B25" s="1" t="str">
        <f t="shared" ca="1" si="89"/>
        <v>Sampras</v>
      </c>
      <c r="DH25" s="1">
        <f t="shared" ca="1" si="90"/>
        <v>157.97748694124655</v>
      </c>
      <c r="DI25" s="1">
        <f t="shared" ca="1" si="91"/>
        <v>281.97748694124653</v>
      </c>
      <c r="DJ25" s="1">
        <f t="shared" ca="1" si="91"/>
        <v>486.97748694124653</v>
      </c>
      <c r="DK25" s="1">
        <f t="shared" ca="1" si="91"/>
        <v>314.97748694124653</v>
      </c>
      <c r="DL25" s="1">
        <f t="shared" ca="1" si="91"/>
        <v>467.97748694124653</v>
      </c>
      <c r="DM25" s="1">
        <f t="shared" ca="1" si="91"/>
        <v>164.97748694124655</v>
      </c>
      <c r="DN25" s="1">
        <f t="shared" ca="1" si="91"/>
        <v>130.97748694124655</v>
      </c>
      <c r="DO25" s="1">
        <f t="shared" ca="1" si="91"/>
        <v>58.977486941246539</v>
      </c>
      <c r="DP25" s="1">
        <f t="shared" ca="1" si="91"/>
        <v>154.97748694124655</v>
      </c>
      <c r="DQ25" s="1">
        <f t="shared" ca="1" si="91"/>
        <v>-19.022513058753457</v>
      </c>
      <c r="DR25" s="1">
        <f t="shared" ca="1" si="91"/>
        <v>-72.022513058753461</v>
      </c>
      <c r="DS25" s="1">
        <f t="shared" ca="1" si="91"/>
        <v>0</v>
      </c>
      <c r="DT25" s="1">
        <f t="shared" ca="1" si="91"/>
        <v>0</v>
      </c>
      <c r="DU25" s="1">
        <f t="shared" ca="1" si="91"/>
        <v>0</v>
      </c>
      <c r="DV25" s="1">
        <f t="shared" ca="1" si="91"/>
        <v>0</v>
      </c>
      <c r="DW25" s="1" t="str">
        <f t="shared" ca="1" si="92"/>
        <v>Sampras</v>
      </c>
      <c r="DX25" s="1">
        <f t="shared" ca="1" si="86"/>
        <v>157.97748694124655</v>
      </c>
      <c r="DY25" s="1">
        <f t="shared" ca="1" si="93"/>
        <v>281.97748694124653</v>
      </c>
      <c r="DZ25" s="1">
        <f t="shared" ca="1" si="94"/>
        <v>486.97748694124653</v>
      </c>
      <c r="EA25" s="1">
        <f t="shared" ca="1" si="95"/>
        <v>314.97748694124653</v>
      </c>
      <c r="EB25" s="1">
        <f t="shared" ca="1" si="96"/>
        <v>467.97748694124653</v>
      </c>
      <c r="EC25" s="1">
        <f t="shared" ca="1" si="97"/>
        <v>164.97748694124655</v>
      </c>
      <c r="ED25" s="1">
        <f t="shared" ca="1" si="98"/>
        <v>130.97748694124655</v>
      </c>
      <c r="EE25" s="1">
        <f t="shared" ca="1" si="99"/>
        <v>58.977486941246539</v>
      </c>
      <c r="EF25" s="1">
        <f t="shared" ca="1" si="100"/>
        <v>154.97748694124655</v>
      </c>
      <c r="EG25" s="1">
        <f t="shared" ca="1" si="101"/>
        <v>-19.022513058753457</v>
      </c>
      <c r="EH25" s="1">
        <f t="shared" ca="1" si="102"/>
        <v>-72.022513058753461</v>
      </c>
      <c r="EI25" s="1" t="str">
        <f t="shared" ca="1" si="103"/>
        <v/>
      </c>
      <c r="EJ25" s="1" t="str">
        <f t="shared" ca="1" si="104"/>
        <v/>
      </c>
      <c r="EK25" s="1" t="str">
        <f t="shared" ca="1" si="105"/>
        <v/>
      </c>
      <c r="EL25" s="1" t="str">
        <f t="shared" ca="1" si="106"/>
        <v/>
      </c>
      <c r="EM25" s="1">
        <f t="shared" ca="1" si="88"/>
        <v>11</v>
      </c>
    </row>
    <row r="26" spans="1:143" x14ac:dyDescent="0.3">
      <c r="A26" s="6">
        <v>5</v>
      </c>
      <c r="B26" s="1" t="str">
        <f t="shared" ca="1" si="89"/>
        <v>Courier</v>
      </c>
      <c r="DH26" s="1">
        <f t="shared" ca="1" si="90"/>
        <v>17.162217922013888</v>
      </c>
      <c r="DI26" s="1">
        <f t="shared" ca="1" si="91"/>
        <v>40.162217922013888</v>
      </c>
      <c r="DJ26" s="1">
        <f t="shared" ca="1" si="91"/>
        <v>376.16221792201389</v>
      </c>
      <c r="DK26" s="1">
        <f t="shared" ca="1" si="91"/>
        <v>438.16221792201389</v>
      </c>
      <c r="DL26" s="1">
        <f t="shared" ca="1" si="91"/>
        <v>315.16221792201389</v>
      </c>
      <c r="DM26" s="1">
        <f t="shared" ca="1" si="91"/>
        <v>171.16221792201389</v>
      </c>
      <c r="DN26" s="1">
        <f t="shared" ca="1" si="91"/>
        <v>119.16221792201388</v>
      </c>
      <c r="DO26" s="1">
        <f t="shared" ca="1" si="91"/>
        <v>61.162217922013888</v>
      </c>
      <c r="DP26" s="1">
        <f t="shared" ca="1" si="91"/>
        <v>63.162217922013888</v>
      </c>
      <c r="DQ26" s="1">
        <f t="shared" ca="1" si="91"/>
        <v>-22.837782077986112</v>
      </c>
      <c r="DR26" s="1">
        <f t="shared" ca="1" si="91"/>
        <v>0</v>
      </c>
      <c r="DS26" s="1">
        <f t="shared" ca="1" si="91"/>
        <v>0</v>
      </c>
      <c r="DT26" s="1">
        <f t="shared" ca="1" si="91"/>
        <v>0</v>
      </c>
      <c r="DU26" s="1">
        <f t="shared" ca="1" si="91"/>
        <v>0</v>
      </c>
      <c r="DV26" s="1">
        <f t="shared" ca="1" si="91"/>
        <v>0</v>
      </c>
      <c r="DW26" s="1" t="str">
        <f t="shared" ca="1" si="92"/>
        <v>Courier</v>
      </c>
      <c r="DX26" s="1">
        <f t="shared" ca="1" si="86"/>
        <v>17.162217922013888</v>
      </c>
      <c r="DY26" s="1">
        <f t="shared" ca="1" si="93"/>
        <v>40.162217922013888</v>
      </c>
      <c r="DZ26" s="1">
        <f t="shared" ca="1" si="94"/>
        <v>376.16221792201389</v>
      </c>
      <c r="EA26" s="1">
        <f t="shared" ca="1" si="95"/>
        <v>438.16221792201389</v>
      </c>
      <c r="EB26" s="1">
        <f t="shared" ca="1" si="96"/>
        <v>315.16221792201389</v>
      </c>
      <c r="EC26" s="1">
        <f t="shared" ca="1" si="97"/>
        <v>171.16221792201389</v>
      </c>
      <c r="ED26" s="1">
        <f t="shared" ca="1" si="98"/>
        <v>119.16221792201388</v>
      </c>
      <c r="EE26" s="1">
        <f t="shared" ca="1" si="99"/>
        <v>61.162217922013888</v>
      </c>
      <c r="EF26" s="1">
        <f t="shared" ca="1" si="100"/>
        <v>63.162217922013888</v>
      </c>
      <c r="EG26" s="1">
        <f t="shared" ca="1" si="101"/>
        <v>-22.837782077986112</v>
      </c>
      <c r="EH26" s="1" t="str">
        <f t="shared" ca="1" si="102"/>
        <v/>
      </c>
      <c r="EI26" s="1" t="str">
        <f t="shared" ca="1" si="103"/>
        <v/>
      </c>
      <c r="EJ26" s="1" t="str">
        <f t="shared" ca="1" si="104"/>
        <v/>
      </c>
      <c r="EK26" s="1" t="str">
        <f t="shared" ca="1" si="105"/>
        <v/>
      </c>
      <c r="EL26" s="1" t="str">
        <f t="shared" ca="1" si="106"/>
        <v/>
      </c>
      <c r="EM26" s="1">
        <f t="shared" ca="1" si="88"/>
        <v>10</v>
      </c>
    </row>
    <row r="27" spans="1:143" x14ac:dyDescent="0.3">
      <c r="A27" s="6">
        <v>6</v>
      </c>
      <c r="B27" s="1" t="str">
        <f t="shared" ca="1" si="89"/>
        <v>McEnroe</v>
      </c>
      <c r="DH27" s="1">
        <f t="shared" ca="1" si="90"/>
        <v>142.16221792201389</v>
      </c>
      <c r="DI27" s="1">
        <f t="shared" ca="1" si="91"/>
        <v>76.162217922013895</v>
      </c>
      <c r="DJ27" s="1">
        <f t="shared" ca="1" si="91"/>
        <v>149.16221792201389</v>
      </c>
      <c r="DK27" s="1">
        <f t="shared" ca="1" si="91"/>
        <v>17.162217922013891</v>
      </c>
      <c r="DL27" s="1">
        <f t="shared" ca="1" si="91"/>
        <v>239.16221792201389</v>
      </c>
      <c r="DM27" s="1">
        <f t="shared" ca="1" si="91"/>
        <v>11.162217922013891</v>
      </c>
      <c r="DN27" s="1">
        <f t="shared" ca="1" si="91"/>
        <v>11.162217922013891</v>
      </c>
      <c r="DO27" s="1">
        <f t="shared" ca="1" si="91"/>
        <v>11.162217922013891</v>
      </c>
      <c r="DP27" s="1">
        <f t="shared" ca="1" si="91"/>
        <v>11.162217922013891</v>
      </c>
      <c r="DQ27" s="1">
        <f t="shared" ca="1" si="91"/>
        <v>11.162217922013891</v>
      </c>
      <c r="DR27" s="1">
        <f t="shared" ca="1" si="91"/>
        <v>0</v>
      </c>
      <c r="DS27" s="1">
        <f t="shared" ca="1" si="91"/>
        <v>0</v>
      </c>
      <c r="DT27" s="1">
        <f t="shared" ca="1" si="91"/>
        <v>0</v>
      </c>
      <c r="DU27" s="1">
        <f t="shared" ca="1" si="91"/>
        <v>0</v>
      </c>
      <c r="DV27" s="1">
        <f t="shared" ca="1" si="91"/>
        <v>0</v>
      </c>
      <c r="DW27" s="1" t="str">
        <f t="shared" ca="1" si="92"/>
        <v>McEnroe</v>
      </c>
      <c r="DX27" s="1">
        <f t="shared" ca="1" si="86"/>
        <v>142.16221792201389</v>
      </c>
      <c r="DY27" s="1">
        <f t="shared" ca="1" si="93"/>
        <v>76.162217922013895</v>
      </c>
      <c r="DZ27" s="1">
        <f t="shared" ca="1" si="94"/>
        <v>149.16221792201389</v>
      </c>
      <c r="EA27" s="1">
        <f t="shared" ca="1" si="95"/>
        <v>17.162217922013891</v>
      </c>
      <c r="EB27" s="1">
        <f t="shared" ca="1" si="96"/>
        <v>239.16221792201389</v>
      </c>
      <c r="EC27" s="1">
        <f t="shared" ca="1" si="97"/>
        <v>11.162217922013891</v>
      </c>
      <c r="ED27" s="1">
        <f t="shared" ca="1" si="98"/>
        <v>11.162217922013891</v>
      </c>
      <c r="EE27" s="1">
        <f t="shared" ca="1" si="99"/>
        <v>11.162217922013891</v>
      </c>
      <c r="EF27" s="1">
        <f t="shared" ca="1" si="100"/>
        <v>11.162217922013891</v>
      </c>
      <c r="EG27" s="1">
        <f t="shared" ca="1" si="101"/>
        <v>11.162217922013891</v>
      </c>
      <c r="EH27" s="1" t="str">
        <f t="shared" ca="1" si="102"/>
        <v/>
      </c>
      <c r="EI27" s="1" t="str">
        <f t="shared" ca="1" si="103"/>
        <v/>
      </c>
      <c r="EJ27" s="1" t="str">
        <f t="shared" ca="1" si="104"/>
        <v/>
      </c>
      <c r="EK27" s="1" t="str">
        <f t="shared" ca="1" si="105"/>
        <v/>
      </c>
      <c r="EL27" s="1" t="str">
        <f t="shared" ca="1" si="106"/>
        <v/>
      </c>
      <c r="EM27" s="1">
        <f t="shared" ca="1" si="88"/>
        <v>10</v>
      </c>
    </row>
    <row r="28" spans="1:143" x14ac:dyDescent="0.3">
      <c r="A28" s="7">
        <f ca="1">RANDBETWEEN(3,4)</f>
        <v>4</v>
      </c>
      <c r="B28" s="1" t="str">
        <f ca="1">VLOOKUP(A28,$A$2:$B$18, 2, FALSE)</f>
        <v>Agassi</v>
      </c>
      <c r="DH28" s="1">
        <f t="shared" ca="1" si="90"/>
        <v>381.88543599032442</v>
      </c>
      <c r="DI28" s="1">
        <f t="shared" ca="1" si="91"/>
        <v>186.88543599032445</v>
      </c>
      <c r="DJ28" s="1">
        <f t="shared" ca="1" si="91"/>
        <v>104.88543599032444</v>
      </c>
      <c r="DK28" s="1">
        <f t="shared" ca="1" si="91"/>
        <v>29.885435990324442</v>
      </c>
      <c r="DL28" s="1">
        <f t="shared" ca="1" si="91"/>
        <v>514.88543599032448</v>
      </c>
      <c r="DM28" s="1">
        <f t="shared" ca="1" si="91"/>
        <v>428.88543599032442</v>
      </c>
      <c r="DN28" s="1">
        <f t="shared" ca="1" si="91"/>
        <v>443.88543599032442</v>
      </c>
      <c r="DO28" s="1">
        <f t="shared" ca="1" si="91"/>
        <v>123.88543599032444</v>
      </c>
      <c r="DP28" s="1">
        <f t="shared" ca="1" si="91"/>
        <v>237.88543599032445</v>
      </c>
      <c r="DQ28" s="1">
        <f t="shared" ca="1" si="91"/>
        <v>5.8854359903244422</v>
      </c>
      <c r="DR28" s="1">
        <f t="shared" ca="1" si="91"/>
        <v>0</v>
      </c>
      <c r="DS28" s="1">
        <f t="shared" ca="1" si="91"/>
        <v>0</v>
      </c>
      <c r="DT28" s="1">
        <f t="shared" ca="1" si="91"/>
        <v>0</v>
      </c>
      <c r="DU28" s="1">
        <f t="shared" ca="1" si="91"/>
        <v>0</v>
      </c>
      <c r="DV28" s="1">
        <f t="shared" ca="1" si="91"/>
        <v>0</v>
      </c>
      <c r="DW28" s="1" t="str">
        <f t="shared" ca="1" si="92"/>
        <v>Agassi</v>
      </c>
      <c r="DX28" s="1">
        <f t="shared" ca="1" si="86"/>
        <v>381.88543599032442</v>
      </c>
      <c r="DY28" s="1">
        <f t="shared" ca="1" si="93"/>
        <v>186.88543599032445</v>
      </c>
      <c r="DZ28" s="1">
        <f t="shared" ca="1" si="94"/>
        <v>104.88543599032444</v>
      </c>
      <c r="EA28" s="1">
        <f t="shared" ca="1" si="95"/>
        <v>29.885435990324442</v>
      </c>
      <c r="EB28" s="1">
        <f t="shared" ca="1" si="96"/>
        <v>514.88543599032448</v>
      </c>
      <c r="EC28" s="1">
        <f t="shared" ca="1" si="97"/>
        <v>428.88543599032442</v>
      </c>
      <c r="ED28" s="1">
        <f t="shared" ca="1" si="98"/>
        <v>443.88543599032442</v>
      </c>
      <c r="EE28" s="1">
        <f t="shared" ca="1" si="99"/>
        <v>123.88543599032444</v>
      </c>
      <c r="EF28" s="1">
        <f t="shared" ca="1" si="100"/>
        <v>237.88543599032445</v>
      </c>
      <c r="EG28" s="1">
        <f t="shared" ca="1" si="101"/>
        <v>5.8854359903244422</v>
      </c>
      <c r="EH28" s="1" t="str">
        <f t="shared" ca="1" si="102"/>
        <v/>
      </c>
      <c r="EI28" s="1" t="str">
        <f t="shared" ca="1" si="103"/>
        <v/>
      </c>
      <c r="EJ28" s="1" t="str">
        <f t="shared" ca="1" si="104"/>
        <v/>
      </c>
      <c r="EK28" s="1" t="str">
        <f t="shared" ca="1" si="105"/>
        <v/>
      </c>
      <c r="EL28" s="1" t="str">
        <f t="shared" ca="1" si="106"/>
        <v/>
      </c>
      <c r="EM28" s="1">
        <f t="shared" ca="1" si="88"/>
        <v>10</v>
      </c>
    </row>
    <row r="29" spans="1:143" x14ac:dyDescent="0.3">
      <c r="A29" s="7">
        <f ca="1">IF(A28=3, 4, 3)</f>
        <v>3</v>
      </c>
      <c r="B29" s="1" t="str">
        <f ca="1">VLOOKUP(A29,$A$2:$B$18, 2, FALSE)</f>
        <v>Nadal</v>
      </c>
      <c r="DH29" s="1">
        <f t="shared" ca="1" si="90"/>
        <v>110.22788275536358</v>
      </c>
      <c r="DI29" s="1">
        <f t="shared" ca="1" si="91"/>
        <v>195.22788275536357</v>
      </c>
      <c r="DJ29" s="1">
        <f t="shared" ca="1" si="91"/>
        <v>175.22788275536357</v>
      </c>
      <c r="DK29" s="1">
        <f t="shared" ca="1" si="91"/>
        <v>461.22788275536357</v>
      </c>
      <c r="DL29" s="1">
        <f t="shared" ca="1" si="91"/>
        <v>196.22788275536357</v>
      </c>
      <c r="DM29" s="1">
        <f t="shared" ca="1" si="91"/>
        <v>99.227882755363581</v>
      </c>
      <c r="DN29" s="1">
        <f t="shared" ca="1" si="91"/>
        <v>296.22788275536357</v>
      </c>
      <c r="DO29" s="1">
        <f t="shared" ca="1" si="91"/>
        <v>389.22788275536357</v>
      </c>
      <c r="DP29" s="1">
        <f t="shared" ca="1" si="91"/>
        <v>144.22788275536357</v>
      </c>
      <c r="DQ29" s="1">
        <f t="shared" ca="1" si="91"/>
        <v>472.22788275536357</v>
      </c>
      <c r="DR29" s="1">
        <f t="shared" ca="1" si="91"/>
        <v>223.22788275536357</v>
      </c>
      <c r="DS29" s="1">
        <f t="shared" ca="1" si="91"/>
        <v>-8.7721172446364228</v>
      </c>
      <c r="DT29" s="1">
        <f t="shared" ca="1" si="91"/>
        <v>-52.772117244636419</v>
      </c>
      <c r="DU29" s="1">
        <f t="shared" ca="1" si="91"/>
        <v>0</v>
      </c>
      <c r="DV29" s="1">
        <f t="shared" ca="1" si="91"/>
        <v>0</v>
      </c>
      <c r="DW29" s="1" t="str">
        <f t="shared" ca="1" si="92"/>
        <v>Nadal</v>
      </c>
      <c r="DX29" s="1">
        <f t="shared" ca="1" si="86"/>
        <v>110.22788275536358</v>
      </c>
      <c r="DY29" s="1">
        <f t="shared" ca="1" si="93"/>
        <v>195.22788275536357</v>
      </c>
      <c r="DZ29" s="1">
        <f t="shared" ca="1" si="94"/>
        <v>175.22788275536357</v>
      </c>
      <c r="EA29" s="1">
        <f t="shared" ca="1" si="95"/>
        <v>461.22788275536357</v>
      </c>
      <c r="EB29" s="1">
        <f t="shared" ca="1" si="96"/>
        <v>196.22788275536357</v>
      </c>
      <c r="EC29" s="1">
        <f t="shared" ca="1" si="97"/>
        <v>99.227882755363581</v>
      </c>
      <c r="ED29" s="1">
        <f t="shared" ca="1" si="98"/>
        <v>296.22788275536357</v>
      </c>
      <c r="EE29" s="1">
        <f t="shared" ca="1" si="99"/>
        <v>389.22788275536357</v>
      </c>
      <c r="EF29" s="1">
        <f t="shared" ca="1" si="100"/>
        <v>144.22788275536357</v>
      </c>
      <c r="EG29" s="1">
        <f t="shared" ca="1" si="101"/>
        <v>472.22788275536357</v>
      </c>
      <c r="EH29" s="1">
        <f t="shared" ca="1" si="102"/>
        <v>223.22788275536357</v>
      </c>
      <c r="EI29" s="1">
        <f t="shared" ca="1" si="103"/>
        <v>-8.7721172446364228</v>
      </c>
      <c r="EJ29" s="1">
        <f t="shared" ca="1" si="104"/>
        <v>-52.772117244636419</v>
      </c>
      <c r="EK29" s="1" t="str">
        <f t="shared" ca="1" si="105"/>
        <v/>
      </c>
      <c r="EL29" s="1" t="str">
        <f t="shared" ca="1" si="106"/>
        <v/>
      </c>
      <c r="EM29" s="1">
        <f t="shared" ca="1" si="88"/>
        <v>13</v>
      </c>
    </row>
    <row r="30" spans="1:143" x14ac:dyDescent="0.3">
      <c r="A30" s="6">
        <v>7</v>
      </c>
      <c r="B30" s="1" t="str">
        <f t="shared" ref="B30:B35" ca="1" si="107">VLOOKUP(A30,$E$2:$F$18, 2, FALSE)</f>
        <v>Lendl</v>
      </c>
      <c r="DH30" s="1">
        <f t="shared" ca="1" si="90"/>
        <v>53.162217922013888</v>
      </c>
      <c r="DI30" s="1">
        <f t="shared" ca="1" si="91"/>
        <v>352.16221792201389</v>
      </c>
      <c r="DJ30" s="1">
        <f t="shared" ca="1" si="91"/>
        <v>137.16221792201389</v>
      </c>
      <c r="DK30" s="1">
        <f t="shared" ca="1" si="91"/>
        <v>144.16221792201389</v>
      </c>
      <c r="DL30" s="1">
        <f t="shared" ca="1" si="91"/>
        <v>152.16221792201389</v>
      </c>
      <c r="DM30" s="1">
        <f t="shared" ca="1" si="91"/>
        <v>162.16221792201389</v>
      </c>
      <c r="DN30" s="1">
        <f t="shared" ca="1" si="91"/>
        <v>455.16221792201389</v>
      </c>
      <c r="DO30" s="1">
        <f t="shared" ca="1" si="91"/>
        <v>376.16221792201389</v>
      </c>
      <c r="DP30" s="1">
        <f t="shared" ca="1" si="91"/>
        <v>382.16221792201389</v>
      </c>
      <c r="DQ30" s="1">
        <f t="shared" ca="1" si="91"/>
        <v>145.16221792201389</v>
      </c>
      <c r="DR30" s="1">
        <f t="shared" ca="1" si="91"/>
        <v>190.16221792201389</v>
      </c>
      <c r="DS30" s="1">
        <f t="shared" ca="1" si="91"/>
        <v>-50.837782077986112</v>
      </c>
      <c r="DT30" s="1">
        <f t="shared" ca="1" si="91"/>
        <v>0</v>
      </c>
      <c r="DU30" s="1">
        <f t="shared" ca="1" si="91"/>
        <v>0</v>
      </c>
      <c r="DV30" s="1">
        <f t="shared" ca="1" si="91"/>
        <v>0</v>
      </c>
      <c r="DW30" s="1" t="str">
        <f t="shared" ca="1" si="92"/>
        <v>Lendl</v>
      </c>
      <c r="DX30" s="1">
        <f t="shared" ca="1" si="86"/>
        <v>53.162217922013888</v>
      </c>
      <c r="DY30" s="1">
        <f t="shared" ca="1" si="93"/>
        <v>352.16221792201389</v>
      </c>
      <c r="DZ30" s="1">
        <f t="shared" ca="1" si="94"/>
        <v>137.16221792201389</v>
      </c>
      <c r="EA30" s="1">
        <f t="shared" ca="1" si="95"/>
        <v>144.16221792201389</v>
      </c>
      <c r="EB30" s="1">
        <f t="shared" ca="1" si="96"/>
        <v>152.16221792201389</v>
      </c>
      <c r="EC30" s="1">
        <f t="shared" ca="1" si="97"/>
        <v>162.16221792201389</v>
      </c>
      <c r="ED30" s="1">
        <f t="shared" ca="1" si="98"/>
        <v>455.16221792201389</v>
      </c>
      <c r="EE30" s="1">
        <f t="shared" ca="1" si="99"/>
        <v>376.16221792201389</v>
      </c>
      <c r="EF30" s="1">
        <f t="shared" ca="1" si="100"/>
        <v>382.16221792201389</v>
      </c>
      <c r="EG30" s="1">
        <f t="shared" ca="1" si="101"/>
        <v>145.16221792201389</v>
      </c>
      <c r="EH30" s="1">
        <f t="shared" ca="1" si="102"/>
        <v>190.16221792201389</v>
      </c>
      <c r="EI30" s="1">
        <f t="shared" ca="1" si="103"/>
        <v>-50.837782077986112</v>
      </c>
      <c r="EJ30" s="1" t="str">
        <f t="shared" ca="1" si="104"/>
        <v/>
      </c>
      <c r="EK30" s="1" t="str">
        <f t="shared" ca="1" si="105"/>
        <v/>
      </c>
      <c r="EL30" s="1" t="str">
        <f t="shared" ca="1" si="106"/>
        <v/>
      </c>
      <c r="EM30" s="1">
        <f t="shared" ca="1" si="88"/>
        <v>12</v>
      </c>
    </row>
    <row r="31" spans="1:143" x14ac:dyDescent="0.3">
      <c r="A31" s="6">
        <v>8</v>
      </c>
      <c r="B31" s="1" t="str">
        <f t="shared" ca="1" si="107"/>
        <v>Wawrinka</v>
      </c>
      <c r="DH31" s="1">
        <f t="shared" ca="1" si="90"/>
        <v>16.227882755363577</v>
      </c>
      <c r="DI31" s="1">
        <f t="shared" ca="1" si="91"/>
        <v>-4.7721172446364228</v>
      </c>
      <c r="DJ31" s="1">
        <f t="shared" ca="1" si="91"/>
        <v>35.227882755363581</v>
      </c>
      <c r="DK31" s="1">
        <f t="shared" ca="1" si="91"/>
        <v>203.22788275536357</v>
      </c>
      <c r="DL31" s="1">
        <f t="shared" ca="1" si="91"/>
        <v>54.227882755363581</v>
      </c>
      <c r="DM31" s="1">
        <f t="shared" ca="1" si="91"/>
        <v>82.227882755363581</v>
      </c>
      <c r="DN31" s="1">
        <f t="shared" ca="1" si="91"/>
        <v>515.22788275536357</v>
      </c>
      <c r="DO31" s="1">
        <f t="shared" ca="1" si="91"/>
        <v>199.22788275536357</v>
      </c>
      <c r="DP31" s="1">
        <f t="shared" ca="1" si="91"/>
        <v>30.227882755363577</v>
      </c>
      <c r="DQ31" s="1">
        <f t="shared" ca="1" si="91"/>
        <v>301.22788275536357</v>
      </c>
      <c r="DR31" s="1">
        <f t="shared" ca="1" si="91"/>
        <v>-103.77211724463642</v>
      </c>
      <c r="DS31" s="1">
        <f t="shared" ca="1" si="91"/>
        <v>-25.772117244636423</v>
      </c>
      <c r="DT31" s="1">
        <f t="shared" ca="1" si="91"/>
        <v>-45.772117244636419</v>
      </c>
      <c r="DU31" s="1">
        <f t="shared" ca="1" si="91"/>
        <v>0</v>
      </c>
      <c r="DV31" s="1">
        <f t="shared" ca="1" si="91"/>
        <v>0</v>
      </c>
      <c r="DW31" s="1" t="str">
        <f t="shared" ca="1" si="92"/>
        <v>Wawrinka</v>
      </c>
      <c r="DX31" s="1">
        <f t="shared" ca="1" si="86"/>
        <v>16.227882755363577</v>
      </c>
      <c r="DY31" s="1">
        <f t="shared" ca="1" si="93"/>
        <v>-4.7721172446364228</v>
      </c>
      <c r="DZ31" s="1">
        <f t="shared" ca="1" si="94"/>
        <v>35.227882755363581</v>
      </c>
      <c r="EA31" s="1">
        <f t="shared" ca="1" si="95"/>
        <v>203.22788275536357</v>
      </c>
      <c r="EB31" s="1">
        <f t="shared" ca="1" si="96"/>
        <v>54.227882755363581</v>
      </c>
      <c r="EC31" s="1">
        <f t="shared" ca="1" si="97"/>
        <v>82.227882755363581</v>
      </c>
      <c r="ED31" s="1">
        <f t="shared" ca="1" si="98"/>
        <v>515.22788275536357</v>
      </c>
      <c r="EE31" s="1">
        <f t="shared" ca="1" si="99"/>
        <v>199.22788275536357</v>
      </c>
      <c r="EF31" s="1">
        <f t="shared" ca="1" si="100"/>
        <v>30.227882755363577</v>
      </c>
      <c r="EG31" s="1">
        <f t="shared" ca="1" si="101"/>
        <v>301.22788275536357</v>
      </c>
      <c r="EH31" s="1">
        <f t="shared" ca="1" si="102"/>
        <v>-103.77211724463642</v>
      </c>
      <c r="EI31" s="1">
        <f t="shared" ca="1" si="103"/>
        <v>-25.772117244636423</v>
      </c>
      <c r="EJ31" s="1">
        <f t="shared" ca="1" si="104"/>
        <v>-45.772117244636419</v>
      </c>
      <c r="EK31" s="1" t="str">
        <f t="shared" ca="1" si="105"/>
        <v/>
      </c>
      <c r="EL31" s="1" t="str">
        <f t="shared" ca="1" si="106"/>
        <v/>
      </c>
      <c r="EM31" s="1">
        <f t="shared" ca="1" si="88"/>
        <v>13</v>
      </c>
    </row>
    <row r="32" spans="1:143" x14ac:dyDescent="0.3">
      <c r="A32" s="6">
        <v>9</v>
      </c>
      <c r="B32" s="1" t="str">
        <f t="shared" ca="1" si="107"/>
        <v>Wilander</v>
      </c>
      <c r="DH32" s="1">
        <f t="shared" ca="1" si="90"/>
        <v>515.16221792201384</v>
      </c>
      <c r="DI32" s="1">
        <f t="shared" ca="1" si="91"/>
        <v>347.16221792201389</v>
      </c>
      <c r="DJ32" s="1">
        <f t="shared" ca="1" si="91"/>
        <v>254.16221792201389</v>
      </c>
      <c r="DK32" s="1">
        <f t="shared" ca="1" si="91"/>
        <v>431.16221792201389</v>
      </c>
      <c r="DL32" s="1">
        <f t="shared" ca="1" si="91"/>
        <v>204.16221792201389</v>
      </c>
      <c r="DM32" s="1">
        <f t="shared" ca="1" si="91"/>
        <v>20.162217922013888</v>
      </c>
      <c r="DN32" s="1">
        <f t="shared" ca="1" si="91"/>
        <v>-87.837782077986105</v>
      </c>
      <c r="DO32" s="1">
        <f t="shared" ca="1" si="91"/>
        <v>-38.837782077986112</v>
      </c>
      <c r="DP32" s="1">
        <f t="shared" ca="1" si="91"/>
        <v>-11.837782077986111</v>
      </c>
      <c r="DQ32" s="1">
        <f t="shared" ca="1" si="91"/>
        <v>-12.837782077986111</v>
      </c>
      <c r="DR32" s="1">
        <f t="shared" ca="1" si="91"/>
        <v>0</v>
      </c>
      <c r="DS32" s="1">
        <f t="shared" ca="1" si="91"/>
        <v>0</v>
      </c>
      <c r="DT32" s="1">
        <f t="shared" ca="1" si="91"/>
        <v>0</v>
      </c>
      <c r="DU32" s="1">
        <f t="shared" ca="1" si="91"/>
        <v>0</v>
      </c>
      <c r="DV32" s="1">
        <f t="shared" ca="1" si="91"/>
        <v>0</v>
      </c>
      <c r="DW32" s="1" t="str">
        <f t="shared" ca="1" si="92"/>
        <v>Wilander</v>
      </c>
      <c r="DX32" s="1">
        <f t="shared" ca="1" si="86"/>
        <v>515.16221792201384</v>
      </c>
      <c r="DY32" s="1">
        <f t="shared" ca="1" si="93"/>
        <v>347.16221792201389</v>
      </c>
      <c r="DZ32" s="1">
        <f t="shared" ca="1" si="94"/>
        <v>254.16221792201389</v>
      </c>
      <c r="EA32" s="1">
        <f t="shared" ca="1" si="95"/>
        <v>431.16221792201389</v>
      </c>
      <c r="EB32" s="1">
        <f t="shared" ca="1" si="96"/>
        <v>204.16221792201389</v>
      </c>
      <c r="EC32" s="1">
        <f t="shared" ca="1" si="97"/>
        <v>20.162217922013888</v>
      </c>
      <c r="ED32" s="1">
        <f t="shared" ca="1" si="98"/>
        <v>-87.837782077986105</v>
      </c>
      <c r="EE32" s="1">
        <f t="shared" ca="1" si="99"/>
        <v>-38.837782077986112</v>
      </c>
      <c r="EF32" s="1">
        <f t="shared" ca="1" si="100"/>
        <v>-11.837782077986111</v>
      </c>
      <c r="EG32" s="1">
        <f t="shared" ca="1" si="101"/>
        <v>-12.837782077986111</v>
      </c>
      <c r="EH32" s="1" t="str">
        <f t="shared" ca="1" si="102"/>
        <v/>
      </c>
      <c r="EI32" s="1" t="str">
        <f t="shared" ca="1" si="103"/>
        <v/>
      </c>
      <c r="EJ32" s="1" t="str">
        <f t="shared" ca="1" si="104"/>
        <v/>
      </c>
      <c r="EK32" s="1" t="str">
        <f t="shared" ca="1" si="105"/>
        <v/>
      </c>
      <c r="EL32" s="1" t="str">
        <f t="shared" ca="1" si="106"/>
        <v/>
      </c>
      <c r="EM32" s="1">
        <f t="shared" ca="1" si="88"/>
        <v>10</v>
      </c>
    </row>
    <row r="33" spans="1:143" x14ac:dyDescent="0.3">
      <c r="A33" s="6">
        <v>10</v>
      </c>
      <c r="B33" s="1" t="str">
        <f t="shared" ca="1" si="107"/>
        <v>Murray</v>
      </c>
      <c r="DH33" s="1">
        <f t="shared" ca="1" si="90"/>
        <v>162.22788275536357</v>
      </c>
      <c r="DI33" s="1">
        <f t="shared" ca="1" si="91"/>
        <v>97.227882755363567</v>
      </c>
      <c r="DJ33" s="1">
        <f t="shared" ca="1" si="91"/>
        <v>352.22788275536357</v>
      </c>
      <c r="DK33" s="1">
        <f t="shared" ca="1" si="91"/>
        <v>345.22788275536357</v>
      </c>
      <c r="DL33" s="1">
        <f t="shared" ca="1" si="91"/>
        <v>173.22788275536357</v>
      </c>
      <c r="DM33" s="1">
        <f t="shared" ca="1" si="91"/>
        <v>318.22788275536357</v>
      </c>
      <c r="DN33" s="1">
        <f t="shared" ca="1" si="91"/>
        <v>73.227882755363567</v>
      </c>
      <c r="DO33" s="1">
        <f t="shared" ca="1" si="91"/>
        <v>316.22788275536357</v>
      </c>
      <c r="DP33" s="1">
        <f t="shared" ca="1" si="91"/>
        <v>402.22788275536357</v>
      </c>
      <c r="DQ33" s="1">
        <f t="shared" ca="1" si="91"/>
        <v>17.227882755363559</v>
      </c>
      <c r="DR33" s="1">
        <f t="shared" ca="1" si="91"/>
        <v>-58.772117244636441</v>
      </c>
      <c r="DS33" s="1">
        <f t="shared" ca="1" si="91"/>
        <v>-45.772117244636441</v>
      </c>
      <c r="DT33" s="1">
        <f t="shared" ca="1" si="91"/>
        <v>0</v>
      </c>
      <c r="DU33" s="1">
        <f t="shared" ca="1" si="91"/>
        <v>0</v>
      </c>
      <c r="DV33" s="1">
        <f t="shared" ca="1" si="91"/>
        <v>0</v>
      </c>
      <c r="DW33" s="1" t="str">
        <f t="shared" ca="1" si="92"/>
        <v>Murray</v>
      </c>
      <c r="DX33" s="1">
        <f t="shared" ca="1" si="86"/>
        <v>162.22788275536357</v>
      </c>
      <c r="DY33" s="1">
        <f t="shared" ca="1" si="93"/>
        <v>97.227882755363567</v>
      </c>
      <c r="DZ33" s="1">
        <f t="shared" ca="1" si="94"/>
        <v>352.22788275536357</v>
      </c>
      <c r="EA33" s="1">
        <f t="shared" ca="1" si="95"/>
        <v>345.22788275536357</v>
      </c>
      <c r="EB33" s="1">
        <f t="shared" ca="1" si="96"/>
        <v>173.22788275536357</v>
      </c>
      <c r="EC33" s="1">
        <f t="shared" ca="1" si="97"/>
        <v>318.22788275536357</v>
      </c>
      <c r="ED33" s="1">
        <f t="shared" ca="1" si="98"/>
        <v>73.227882755363567</v>
      </c>
      <c r="EE33" s="1">
        <f t="shared" ca="1" si="99"/>
        <v>316.22788275536357</v>
      </c>
      <c r="EF33" s="1">
        <f t="shared" ca="1" si="100"/>
        <v>402.22788275536357</v>
      </c>
      <c r="EG33" s="1">
        <f t="shared" ca="1" si="101"/>
        <v>17.227882755363559</v>
      </c>
      <c r="EH33" s="1">
        <f t="shared" ca="1" si="102"/>
        <v>-58.772117244636441</v>
      </c>
      <c r="EI33" s="1">
        <f t="shared" ca="1" si="103"/>
        <v>-45.772117244636441</v>
      </c>
      <c r="EJ33" s="1" t="str">
        <f t="shared" ca="1" si="104"/>
        <v/>
      </c>
      <c r="EK33" s="1" t="str">
        <f t="shared" ca="1" si="105"/>
        <v/>
      </c>
      <c r="EL33" s="1" t="str">
        <f t="shared" ca="1" si="106"/>
        <v/>
      </c>
      <c r="EM33" s="1">
        <f t="shared" ca="1" si="88"/>
        <v>12</v>
      </c>
    </row>
    <row r="34" spans="1:143" x14ac:dyDescent="0.3">
      <c r="A34" s="6">
        <v>11</v>
      </c>
      <c r="B34" s="1" t="str">
        <f t="shared" ca="1" si="107"/>
        <v>Connors</v>
      </c>
      <c r="DH34" s="1">
        <f t="shared" ca="1" si="90"/>
        <v>265.16221792201389</v>
      </c>
      <c r="DI34" s="1">
        <f t="shared" ca="1" si="91"/>
        <v>158.16221792201389</v>
      </c>
      <c r="DJ34" s="1">
        <f t="shared" ca="1" si="91"/>
        <v>11.162217922013888</v>
      </c>
      <c r="DK34" s="1">
        <f t="shared" ca="1" si="91"/>
        <v>11.162217922013888</v>
      </c>
      <c r="DL34" s="1">
        <f t="shared" ca="1" si="91"/>
        <v>11.162217922013888</v>
      </c>
      <c r="DM34" s="1">
        <f t="shared" ca="1" si="91"/>
        <v>11.162217922013888</v>
      </c>
      <c r="DN34" s="1">
        <f t="shared" ca="1" si="91"/>
        <v>11.162217922013888</v>
      </c>
      <c r="DO34" s="1">
        <f t="shared" ca="1" si="91"/>
        <v>11.162217922013888</v>
      </c>
      <c r="DP34" s="1">
        <f t="shared" ca="1" si="91"/>
        <v>11.162217922013888</v>
      </c>
      <c r="DQ34" s="1">
        <f t="shared" ca="1" si="91"/>
        <v>11.162217922013888</v>
      </c>
      <c r="DR34" s="1">
        <f t="shared" ca="1" si="91"/>
        <v>0</v>
      </c>
      <c r="DS34" s="1">
        <f t="shared" ca="1" si="91"/>
        <v>0</v>
      </c>
      <c r="DT34" s="1">
        <f t="shared" ca="1" si="91"/>
        <v>0</v>
      </c>
      <c r="DU34" s="1">
        <f t="shared" ca="1" si="91"/>
        <v>0</v>
      </c>
      <c r="DV34" s="1">
        <f t="shared" ca="1" si="91"/>
        <v>0</v>
      </c>
      <c r="DW34" s="1" t="str">
        <f t="shared" ca="1" si="92"/>
        <v>Connors</v>
      </c>
      <c r="DX34" s="1">
        <f t="shared" ca="1" si="86"/>
        <v>265.16221792201389</v>
      </c>
      <c r="DY34" s="1">
        <f t="shared" ca="1" si="93"/>
        <v>158.16221792201389</v>
      </c>
      <c r="DZ34" s="1">
        <f t="shared" ca="1" si="94"/>
        <v>11.162217922013888</v>
      </c>
      <c r="EA34" s="1">
        <f t="shared" ca="1" si="95"/>
        <v>11.162217922013888</v>
      </c>
      <c r="EB34" s="1">
        <f t="shared" ca="1" si="96"/>
        <v>11.162217922013888</v>
      </c>
      <c r="EC34" s="1">
        <f t="shared" ca="1" si="97"/>
        <v>11.162217922013888</v>
      </c>
      <c r="ED34" s="1">
        <f t="shared" ca="1" si="98"/>
        <v>11.162217922013888</v>
      </c>
      <c r="EE34" s="1">
        <f t="shared" ca="1" si="99"/>
        <v>11.162217922013888</v>
      </c>
      <c r="EF34" s="1">
        <f t="shared" ca="1" si="100"/>
        <v>11.162217922013888</v>
      </c>
      <c r="EG34" s="1">
        <f t="shared" ca="1" si="101"/>
        <v>11.162217922013888</v>
      </c>
      <c r="EH34" s="1" t="str">
        <f t="shared" ca="1" si="102"/>
        <v/>
      </c>
      <c r="EI34" s="1" t="str">
        <f t="shared" ca="1" si="103"/>
        <v/>
      </c>
      <c r="EJ34" s="1" t="str">
        <f t="shared" ca="1" si="104"/>
        <v/>
      </c>
      <c r="EK34" s="1" t="str">
        <f t="shared" ca="1" si="105"/>
        <v/>
      </c>
      <c r="EL34" s="1" t="str">
        <f t="shared" ca="1" si="106"/>
        <v/>
      </c>
      <c r="EM34" s="1">
        <f t="shared" ca="1" si="88"/>
        <v>10</v>
      </c>
    </row>
    <row r="35" spans="1:143" x14ac:dyDescent="0.3">
      <c r="A35" s="6">
        <v>12</v>
      </c>
      <c r="B35" s="1" t="str">
        <f t="shared" ca="1" si="107"/>
        <v>Borg</v>
      </c>
      <c r="DH35" s="1">
        <f t="shared" ca="1" si="90"/>
        <v>43.16221792201388</v>
      </c>
      <c r="DI35" s="1">
        <f t="shared" ca="1" si="91"/>
        <v>11.162217922013884</v>
      </c>
      <c r="DJ35" s="1">
        <f t="shared" ca="1" si="91"/>
        <v>11.162217922013884</v>
      </c>
      <c r="DK35" s="1">
        <f t="shared" ca="1" si="91"/>
        <v>11.162217922013884</v>
      </c>
      <c r="DL35" s="1">
        <f t="shared" ca="1" si="91"/>
        <v>11.162217922013884</v>
      </c>
      <c r="DM35" s="1">
        <f t="shared" ca="1" si="91"/>
        <v>11.162217922013884</v>
      </c>
      <c r="DN35" s="1">
        <f t="shared" ca="1" si="91"/>
        <v>11.162217922013884</v>
      </c>
      <c r="DO35" s="1">
        <f t="shared" ca="1" si="91"/>
        <v>11.162217922013884</v>
      </c>
      <c r="DP35" s="1">
        <f t="shared" ca="1" si="91"/>
        <v>11.162217922013884</v>
      </c>
      <c r="DQ35" s="1">
        <f t="shared" ca="1" si="91"/>
        <v>11.162217922013884</v>
      </c>
      <c r="DR35" s="1">
        <f t="shared" ca="1" si="91"/>
        <v>0</v>
      </c>
      <c r="DS35" s="1">
        <f t="shared" ca="1" si="91"/>
        <v>0</v>
      </c>
      <c r="DT35" s="1">
        <f t="shared" ca="1" si="91"/>
        <v>0</v>
      </c>
      <c r="DU35" s="1">
        <f t="shared" ca="1" si="91"/>
        <v>0</v>
      </c>
      <c r="DV35" s="1">
        <f t="shared" ca="1" si="91"/>
        <v>0</v>
      </c>
      <c r="DW35" s="1" t="str">
        <f t="shared" ca="1" si="92"/>
        <v>Borg</v>
      </c>
      <c r="DX35" s="1">
        <f t="shared" ca="1" si="86"/>
        <v>43.16221792201388</v>
      </c>
      <c r="DY35" s="1">
        <f t="shared" ca="1" si="93"/>
        <v>11.162217922013884</v>
      </c>
      <c r="DZ35" s="1">
        <f t="shared" ca="1" si="94"/>
        <v>11.162217922013884</v>
      </c>
      <c r="EA35" s="1">
        <f t="shared" ca="1" si="95"/>
        <v>11.162217922013884</v>
      </c>
      <c r="EB35" s="1">
        <f t="shared" ca="1" si="96"/>
        <v>11.162217922013884</v>
      </c>
      <c r="EC35" s="1">
        <f t="shared" ca="1" si="97"/>
        <v>11.162217922013884</v>
      </c>
      <c r="ED35" s="1">
        <f t="shared" ca="1" si="98"/>
        <v>11.162217922013884</v>
      </c>
      <c r="EE35" s="1">
        <f t="shared" ca="1" si="99"/>
        <v>11.162217922013884</v>
      </c>
      <c r="EF35" s="1">
        <f t="shared" ca="1" si="100"/>
        <v>11.162217922013884</v>
      </c>
      <c r="EG35" s="1">
        <f t="shared" ca="1" si="101"/>
        <v>11.162217922013884</v>
      </c>
      <c r="EH35" s="1" t="str">
        <f t="shared" ca="1" si="102"/>
        <v/>
      </c>
      <c r="EI35" s="1" t="str">
        <f t="shared" ca="1" si="103"/>
        <v/>
      </c>
      <c r="EJ35" s="1" t="str">
        <f t="shared" ca="1" si="104"/>
        <v/>
      </c>
      <c r="EK35" s="1" t="str">
        <f t="shared" ca="1" si="105"/>
        <v/>
      </c>
      <c r="EL35" s="1" t="str">
        <f t="shared" ca="1" si="106"/>
        <v/>
      </c>
      <c r="EM35" s="1">
        <f t="shared" ca="1" si="88"/>
        <v>10</v>
      </c>
    </row>
    <row r="36" spans="1:143" x14ac:dyDescent="0.3">
      <c r="A36" s="1">
        <v>2</v>
      </c>
      <c r="B36" s="1" t="str">
        <f>VLOOKUP(A36,$A$2:$B$18, 2, FALSE)</f>
        <v>Djokovic</v>
      </c>
      <c r="DH36" s="1">
        <f t="shared" si="90"/>
        <v>-11.772117244636421</v>
      </c>
      <c r="DI36" s="1">
        <f t="shared" si="91"/>
        <v>-75.772117244636419</v>
      </c>
      <c r="DJ36" s="1">
        <f t="shared" si="91"/>
        <v>70.227882755363581</v>
      </c>
      <c r="DK36" s="1">
        <f t="shared" si="91"/>
        <v>466.22788275536357</v>
      </c>
      <c r="DL36" s="1">
        <f t="shared" si="91"/>
        <v>32.227882755363581</v>
      </c>
      <c r="DM36" s="1">
        <f t="shared" si="91"/>
        <v>75.227882755363581</v>
      </c>
      <c r="DN36" s="1">
        <f t="shared" si="91"/>
        <v>563.22788275536357</v>
      </c>
      <c r="DO36" s="1">
        <f t="shared" si="91"/>
        <v>396.22788275536357</v>
      </c>
      <c r="DP36" s="1">
        <f t="shared" si="91"/>
        <v>562.22788275536357</v>
      </c>
      <c r="DQ36" s="1">
        <f t="shared" si="91"/>
        <v>136.22788275536357</v>
      </c>
      <c r="DR36" s="1">
        <f t="shared" si="91"/>
        <v>464.22788275536357</v>
      </c>
      <c r="DS36" s="1">
        <f t="shared" si="91"/>
        <v>537.22788275536357</v>
      </c>
      <c r="DT36" s="1">
        <f t="shared" si="91"/>
        <v>-46.772117244636419</v>
      </c>
      <c r="DU36" s="1">
        <f t="shared" si="91"/>
        <v>111.22788275536358</v>
      </c>
      <c r="DV36" s="1">
        <f t="shared" si="91"/>
        <v>0</v>
      </c>
      <c r="DW36" s="1" t="str">
        <f t="shared" si="92"/>
        <v>Djokovic</v>
      </c>
      <c r="DX36" s="1">
        <f t="shared" si="86"/>
        <v>-11.772117244636421</v>
      </c>
      <c r="DY36" s="1">
        <f t="shared" si="93"/>
        <v>-75.772117244636419</v>
      </c>
      <c r="DZ36" s="1">
        <f t="shared" si="94"/>
        <v>70.227882755363581</v>
      </c>
      <c r="EA36" s="1">
        <f t="shared" si="95"/>
        <v>466.22788275536357</v>
      </c>
      <c r="EB36" s="1">
        <f t="shared" si="96"/>
        <v>32.227882755363581</v>
      </c>
      <c r="EC36" s="1">
        <f t="shared" si="97"/>
        <v>75.227882755363581</v>
      </c>
      <c r="ED36" s="1">
        <f t="shared" si="98"/>
        <v>563.22788275536357</v>
      </c>
      <c r="EE36" s="1">
        <f t="shared" si="99"/>
        <v>396.22788275536357</v>
      </c>
      <c r="EF36" s="1">
        <f t="shared" si="100"/>
        <v>562.22788275536357</v>
      </c>
      <c r="EG36" s="1">
        <f t="shared" si="101"/>
        <v>136.22788275536357</v>
      </c>
      <c r="EH36" s="1">
        <f t="shared" si="102"/>
        <v>464.22788275536357</v>
      </c>
      <c r="EI36" s="1">
        <f t="shared" si="103"/>
        <v>537.22788275536357</v>
      </c>
      <c r="EJ36" s="1">
        <f t="shared" si="104"/>
        <v>-46.772117244636419</v>
      </c>
      <c r="EK36" s="1">
        <f t="shared" si="105"/>
        <v>111.22788275536358</v>
      </c>
      <c r="EL36" s="1" t="str">
        <f t="shared" si="106"/>
        <v/>
      </c>
      <c r="EM36" s="1">
        <f t="shared" si="88"/>
        <v>14</v>
      </c>
    </row>
  </sheetData>
  <mergeCells count="2">
    <mergeCell ref="A1:B1"/>
    <mergeCell ref="A6:B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20"/>
  <sheetViews>
    <sheetView topLeftCell="H1" workbookViewId="0">
      <selection activeCell="AA13" sqref="AA13"/>
    </sheetView>
  </sheetViews>
  <sheetFormatPr defaultColWidth="10.796875" defaultRowHeight="15.6" x14ac:dyDescent="0.3"/>
  <cols>
    <col min="1" max="1" width="7.19921875" style="1" hidden="1" customWidth="1"/>
    <col min="2" max="2" width="2.296875" style="1" customWidth="1"/>
    <col min="3" max="3" width="10.796875" style="1"/>
    <col min="4" max="7" width="10.796875" style="1" hidden="1" customWidth="1"/>
    <col min="8" max="8" width="10.796875" style="1"/>
    <col min="9" max="12" width="10.796875" style="1" hidden="1" customWidth="1"/>
    <col min="13" max="13" width="10.796875" style="1"/>
    <col min="14" max="17" width="10.796875" style="1" hidden="1" customWidth="1"/>
    <col min="18" max="18" width="10.796875" style="1"/>
    <col min="19" max="22" width="10.796875" style="1" hidden="1" customWidth="1"/>
    <col min="23" max="24" width="10.796875" style="1"/>
    <col min="25" max="40" width="8.69921875" style="1" customWidth="1"/>
    <col min="41" max="16384" width="10.796875" style="1"/>
  </cols>
  <sheetData>
    <row r="1" spans="1:41 16384:16384" x14ac:dyDescent="0.3">
      <c r="A1" s="1" t="s">
        <v>2</v>
      </c>
      <c r="D1" s="1" t="s">
        <v>3</v>
      </c>
      <c r="Y1" s="1" t="str">
        <f t="array" ref="Y1:AB1">TRANSPOSE('Australian Open'!B2:B5)</f>
        <v>Federer</v>
      </c>
      <c r="Z1" s="1" t="str">
        <v>Djokovic</v>
      </c>
      <c r="AA1" s="1" t="str">
        <v>Nadal</v>
      </c>
      <c r="AB1" s="1" t="str">
        <v>Agassi</v>
      </c>
      <c r="AC1" s="1" t="str">
        <f t="array" ref="AC1:AN1">TRANSPOSE('Australian Open'!B7:B18)</f>
        <v>Lendl</v>
      </c>
      <c r="AD1" s="1" t="str">
        <v>Murray</v>
      </c>
      <c r="AE1" s="1" t="str">
        <v>Edberg</v>
      </c>
      <c r="AF1" s="1" t="str">
        <v>Sampras</v>
      </c>
      <c r="AG1" s="1" t="str">
        <v>Wilander</v>
      </c>
      <c r="AH1" s="1" t="str">
        <v>Courier</v>
      </c>
      <c r="AI1" s="1" t="str">
        <v>Wawrinka</v>
      </c>
      <c r="AJ1" s="1" t="str">
        <v>Vilas</v>
      </c>
      <c r="AK1" s="1" t="str">
        <v>Becker</v>
      </c>
      <c r="AL1" s="1" t="str">
        <v>McEnroe</v>
      </c>
      <c r="AM1" s="1" t="str">
        <v>Connors</v>
      </c>
      <c r="AN1" s="1" t="str">
        <v>Borg</v>
      </c>
      <c r="AO1" s="1" t="s">
        <v>21</v>
      </c>
    </row>
    <row r="2" spans="1:41 16384:16384" s="2" customFormat="1" x14ac:dyDescent="0.3">
      <c r="Y2" s="1">
        <f t="shared" ref="Y2:AN2" ca="1" si="0">IF(Y1=$X$14,1,0)</f>
        <v>0</v>
      </c>
      <c r="Z2" s="2">
        <f t="shared" ca="1" si="0"/>
        <v>0</v>
      </c>
      <c r="AA2" s="2">
        <f t="shared" ca="1" si="0"/>
        <v>1</v>
      </c>
      <c r="AB2" s="2">
        <f t="shared" ca="1" si="0"/>
        <v>0</v>
      </c>
      <c r="AC2" s="2">
        <f t="shared" ca="1" si="0"/>
        <v>0</v>
      </c>
      <c r="AD2" s="2">
        <f t="shared" ca="1" si="0"/>
        <v>0</v>
      </c>
      <c r="AE2" s="2">
        <f t="shared" ca="1" si="0"/>
        <v>0</v>
      </c>
      <c r="AF2" s="2">
        <f t="shared" ca="1" si="0"/>
        <v>0</v>
      </c>
      <c r="AG2" s="2">
        <f t="shared" ca="1" si="0"/>
        <v>0</v>
      </c>
      <c r="AH2" s="2">
        <f t="shared" ca="1" si="0"/>
        <v>0</v>
      </c>
      <c r="AI2" s="2">
        <f t="shared" ca="1" si="0"/>
        <v>0</v>
      </c>
      <c r="AJ2" s="2">
        <f t="shared" ca="1" si="0"/>
        <v>0</v>
      </c>
      <c r="AK2" s="2">
        <f t="shared" ca="1" si="0"/>
        <v>0</v>
      </c>
      <c r="AL2" s="2">
        <f t="shared" ca="1" si="0"/>
        <v>0</v>
      </c>
      <c r="AM2" s="2">
        <f t="shared" ca="1" si="0"/>
        <v>0</v>
      </c>
      <c r="AN2" s="2">
        <f t="shared" ca="1" si="0"/>
        <v>0</v>
      </c>
    </row>
    <row r="3" spans="1:41 16384:16384" s="2" customFormat="1" x14ac:dyDescent="0.3">
      <c r="Y3" s="2">
        <v>795</v>
      </c>
      <c r="Z3" s="2">
        <v>200</v>
      </c>
      <c r="AA3" s="2">
        <v>145</v>
      </c>
      <c r="AB3" s="2">
        <v>236</v>
      </c>
      <c r="AC3" s="2">
        <v>125</v>
      </c>
      <c r="AD3" s="2">
        <v>85</v>
      </c>
      <c r="AE3" s="2">
        <v>125</v>
      </c>
      <c r="AF3" s="2">
        <v>87</v>
      </c>
      <c r="AG3" s="2">
        <v>44</v>
      </c>
      <c r="AH3" s="2">
        <v>79</v>
      </c>
      <c r="AI3" s="2">
        <v>21</v>
      </c>
      <c r="AJ3" s="2">
        <v>31</v>
      </c>
      <c r="AK3" s="2">
        <v>6</v>
      </c>
      <c r="AL3" s="2">
        <v>14</v>
      </c>
      <c r="AM3" s="2">
        <v>4</v>
      </c>
      <c r="AN3" s="2">
        <v>2</v>
      </c>
      <c r="AO3" s="2">
        <v>0</v>
      </c>
    </row>
    <row r="4" spans="1:41 16384:16384" s="2" customFormat="1" x14ac:dyDescent="0.3">
      <c r="X4" s="2">
        <f ca="1">SUM(Y4:AN4)</f>
        <v>2000</v>
      </c>
      <c r="Y4" s="2">
        <f ca="1">Y2+Y3</f>
        <v>795</v>
      </c>
      <c r="Z4" s="2">
        <f t="shared" ref="Z4:AO4" ca="1" si="1">Z2+Z3</f>
        <v>200</v>
      </c>
      <c r="AA4" s="2">
        <f t="shared" ca="1" si="1"/>
        <v>146</v>
      </c>
      <c r="AB4" s="2">
        <f t="shared" ca="1" si="1"/>
        <v>236</v>
      </c>
      <c r="AC4" s="2">
        <f t="shared" ca="1" si="1"/>
        <v>125</v>
      </c>
      <c r="AD4" s="2">
        <f t="shared" ca="1" si="1"/>
        <v>85</v>
      </c>
      <c r="AE4" s="2">
        <f t="shared" ca="1" si="1"/>
        <v>125</v>
      </c>
      <c r="AF4" s="2">
        <f t="shared" ca="1" si="1"/>
        <v>87</v>
      </c>
      <c r="AG4" s="2">
        <f t="shared" ca="1" si="1"/>
        <v>44</v>
      </c>
      <c r="AH4" s="2">
        <f t="shared" ca="1" si="1"/>
        <v>79</v>
      </c>
      <c r="AI4" s="2">
        <f t="shared" ca="1" si="1"/>
        <v>21</v>
      </c>
      <c r="AJ4" s="2">
        <f t="shared" ca="1" si="1"/>
        <v>31</v>
      </c>
      <c r="AK4" s="2">
        <f t="shared" ca="1" si="1"/>
        <v>6</v>
      </c>
      <c r="AL4" s="2">
        <f t="shared" ca="1" si="1"/>
        <v>14</v>
      </c>
      <c r="AM4" s="2">
        <f t="shared" ca="1" si="1"/>
        <v>4</v>
      </c>
      <c r="AN4" s="2">
        <f t="shared" ca="1" si="1"/>
        <v>2</v>
      </c>
      <c r="AO4" s="2">
        <f t="shared" si="1"/>
        <v>0</v>
      </c>
    </row>
    <row r="5" spans="1:41 16384:16384" x14ac:dyDescent="0.3">
      <c r="A5" s="1">
        <v>2</v>
      </c>
      <c r="B5" s="1">
        <f>'Australian Open'!A21</f>
        <v>1</v>
      </c>
      <c r="C5" s="1" t="str">
        <f>'Australian Open'!B21</f>
        <v>Federer</v>
      </c>
      <c r="D5" s="1">
        <f>A5</f>
        <v>2</v>
      </c>
      <c r="E5" s="1">
        <f ca="1">RANDBETWEEN(1,F5)</f>
        <v>12</v>
      </c>
      <c r="F5" s="1">
        <f>VLOOKUP(C5,'Australian Open'!DW21:EM36, 17, FALSE)</f>
        <v>15</v>
      </c>
      <c r="G5" s="4">
        <f ca="1">HLOOKUP(E5, 'Australian Open'!$DX$20:$EL$36,$A5, FALSE)</f>
        <v>222.30287839006499</v>
      </c>
      <c r="Y5" s="9">
        <f ca="1">Y4/X4</f>
        <v>0.39750000000000002</v>
      </c>
      <c r="Z5" s="9">
        <f t="shared" ref="Z5:AN5" ca="1" si="2">Z4/$X$4</f>
        <v>0.1</v>
      </c>
      <c r="AA5" s="9">
        <f t="shared" ca="1" si="2"/>
        <v>7.2999999999999995E-2</v>
      </c>
      <c r="AB5" s="9">
        <f t="shared" ca="1" si="2"/>
        <v>0.11799999999999999</v>
      </c>
      <c r="AC5" s="9">
        <f t="shared" ca="1" si="2"/>
        <v>6.25E-2</v>
      </c>
      <c r="AD5" s="9">
        <f t="shared" ca="1" si="2"/>
        <v>4.2500000000000003E-2</v>
      </c>
      <c r="AE5" s="9">
        <f t="shared" ca="1" si="2"/>
        <v>6.25E-2</v>
      </c>
      <c r="AF5" s="9">
        <f t="shared" ca="1" si="2"/>
        <v>4.3499999999999997E-2</v>
      </c>
      <c r="AG5" s="9">
        <f t="shared" ca="1" si="2"/>
        <v>2.1999999999999999E-2</v>
      </c>
      <c r="AH5" s="9">
        <f t="shared" ca="1" si="2"/>
        <v>3.95E-2</v>
      </c>
      <c r="AI5" s="9">
        <f t="shared" ca="1" si="2"/>
        <v>1.0500000000000001E-2</v>
      </c>
      <c r="AJ5" s="9">
        <f t="shared" ca="1" si="2"/>
        <v>1.55E-2</v>
      </c>
      <c r="AK5" s="9">
        <f t="shared" ca="1" si="2"/>
        <v>3.0000000000000001E-3</v>
      </c>
      <c r="AL5" s="9">
        <f t="shared" ca="1" si="2"/>
        <v>7.0000000000000001E-3</v>
      </c>
      <c r="AM5" s="9">
        <f t="shared" ca="1" si="2"/>
        <v>2E-3</v>
      </c>
      <c r="AN5" s="9">
        <f t="shared" ca="1" si="2"/>
        <v>1E-3</v>
      </c>
      <c r="AO5" s="10">
        <v>0</v>
      </c>
      <c r="XFD5" s="9"/>
    </row>
    <row r="6" spans="1:41 16384:16384" x14ac:dyDescent="0.3">
      <c r="A6" s="1">
        <v>3</v>
      </c>
      <c r="B6" s="5">
        <f>'Australian Open'!A22</f>
        <v>1</v>
      </c>
      <c r="C6" s="1" t="str">
        <f ca="1">'Australian Open'!B22</f>
        <v>Becker</v>
      </c>
      <c r="D6" s="1">
        <f t="shared" ref="D6:D20" si="3">A6</f>
        <v>3</v>
      </c>
      <c r="E6" s="1">
        <f t="shared" ref="E6:E20" ca="1" si="4">RANDBETWEEN(1,F6)</f>
        <v>2</v>
      </c>
      <c r="F6" s="1">
        <f ca="1">VLOOKUP(C6,'Australian Open'!DW22:EM37, 17, FALSE)</f>
        <v>11</v>
      </c>
      <c r="G6" s="4">
        <f ca="1">HLOOKUP(E6, 'Australian Open'!$DX$20:$EL$36,A6, FALSE)</f>
        <v>39.162217922013895</v>
      </c>
      <c r="H6" s="1" t="str">
        <f ca="1">IF(G5&gt;G6, C5, C6)</f>
        <v>Federer</v>
      </c>
      <c r="I6" s="1">
        <f ca="1">VLOOKUP(H6, $C$5:$D$20, 2, FALSE)</f>
        <v>2</v>
      </c>
      <c r="J6" s="1">
        <f ca="1">RANDBETWEEN(1,K6)</f>
        <v>11</v>
      </c>
      <c r="K6" s="1">
        <f ca="1">VLOOKUP(H6, $C$5:$F$20, 4, FALSE)</f>
        <v>15</v>
      </c>
      <c r="L6" s="4">
        <f ca="1">HLOOKUP(J6, 'Australian Open'!$DX$20:$EL$36,I6, FALSE)</f>
        <v>362.30287839006496</v>
      </c>
    </row>
    <row r="7" spans="1:41 16384:16384" x14ac:dyDescent="0.3">
      <c r="A7" s="1">
        <v>4</v>
      </c>
      <c r="B7" s="5">
        <f>'Australian Open'!A23</f>
        <v>2</v>
      </c>
      <c r="C7" s="1" t="str">
        <f ca="1">'Australian Open'!B23</f>
        <v>Edberg</v>
      </c>
      <c r="D7" s="1">
        <f t="shared" si="3"/>
        <v>4</v>
      </c>
      <c r="E7" s="1">
        <f t="shared" ca="1" si="4"/>
        <v>8</v>
      </c>
      <c r="F7" s="1">
        <f ca="1">VLOOKUP(C7,'Australian Open'!DW23:EM38, 17, FALSE)</f>
        <v>12</v>
      </c>
      <c r="G7" s="4">
        <f ca="1">HLOOKUP(E7, 'Australian Open'!$DX$20:$EL$36,A7, FALSE)</f>
        <v>258.16221792201389</v>
      </c>
      <c r="H7" s="1" t="str">
        <f ca="1">IF(G7&gt;G8, C7, C8)</f>
        <v>Edberg</v>
      </c>
      <c r="I7" s="1">
        <f ca="1">VLOOKUP(H7, $C$5:$D$20, 2, FALSE)</f>
        <v>4</v>
      </c>
      <c r="J7" s="1">
        <f ca="1">RANDBETWEEN(1,K7)</f>
        <v>8</v>
      </c>
      <c r="K7" s="1">
        <f ca="1">VLOOKUP(H7, $C$5:$F$20, 4, FALSE)</f>
        <v>12</v>
      </c>
      <c r="L7" s="4">
        <f ca="1">HLOOKUP(J7, 'Australian Open'!$DX$20:$EL$36,I7, FALSE)</f>
        <v>258.16221792201389</v>
      </c>
    </row>
    <row r="8" spans="1:41 16384:16384" x14ac:dyDescent="0.3">
      <c r="A8" s="1">
        <v>5</v>
      </c>
      <c r="B8" s="5">
        <f>'Australian Open'!A24</f>
        <v>3</v>
      </c>
      <c r="C8" s="1" t="str">
        <f ca="1">'Australian Open'!B24</f>
        <v>Vilas</v>
      </c>
      <c r="D8" s="1">
        <f t="shared" si="3"/>
        <v>5</v>
      </c>
      <c r="E8" s="1">
        <f t="shared" ca="1" si="4"/>
        <v>1</v>
      </c>
      <c r="F8" s="1">
        <f ca="1">VLOOKUP(C8,'Australian Open'!DW24:EM39, 17, FALSE)</f>
        <v>10</v>
      </c>
      <c r="G8" s="4">
        <f ca="1">HLOOKUP(E8, 'Australian Open'!$DX$20:$EL$36,A8, FALSE)</f>
        <v>194.16221792201387</v>
      </c>
      <c r="M8" s="1" t="str">
        <f ca="1">IF(L6&gt;L7, H6, H7)</f>
        <v>Federer</v>
      </c>
      <c r="N8" s="1">
        <f ca="1">VLOOKUP(M8, $H$6:$I$19, 2, FALSE)</f>
        <v>2</v>
      </c>
      <c r="O8" s="1">
        <f ca="1">RANDBETWEEN(1,P8)</f>
        <v>3</v>
      </c>
      <c r="P8" s="1">
        <f ca="1">VLOOKUP(M8, $H$6:$L$19, 4, FALSE)</f>
        <v>15</v>
      </c>
      <c r="Q8" s="4">
        <f ca="1">HLOOKUP(O8, 'Australian Open'!$DX$20:$EL$36,N8, FALSE)</f>
        <v>168.30287839006499</v>
      </c>
      <c r="Y8" s="9">
        <v>0.39800000000000002</v>
      </c>
      <c r="Z8" s="9">
        <v>0.1</v>
      </c>
      <c r="AA8" s="9">
        <v>7.2499999999999995E-2</v>
      </c>
      <c r="AB8" s="9">
        <v>0.11799999999999999</v>
      </c>
      <c r="AC8" s="9">
        <v>6.25E-2</v>
      </c>
      <c r="AD8" s="9">
        <v>4.2500000000000003E-2</v>
      </c>
      <c r="AE8" s="9">
        <v>6.25E-2</v>
      </c>
      <c r="AF8" s="9">
        <v>4.3499999999999997E-2</v>
      </c>
      <c r="AG8" s="9">
        <v>2.1999999999999999E-2</v>
      </c>
      <c r="AH8" s="9">
        <v>3.95E-2</v>
      </c>
      <c r="AI8" s="9">
        <v>1.0500000000000001E-2</v>
      </c>
      <c r="AJ8" s="9">
        <v>1.55E-2</v>
      </c>
      <c r="AK8" s="9">
        <v>3.0000000000000001E-3</v>
      </c>
      <c r="AL8" s="9">
        <v>7.0000000000000001E-3</v>
      </c>
      <c r="AM8" s="9">
        <v>2E-3</v>
      </c>
      <c r="AN8" s="9">
        <v>1E-3</v>
      </c>
      <c r="AO8" s="10">
        <v>0</v>
      </c>
    </row>
    <row r="9" spans="1:41 16384:16384" x14ac:dyDescent="0.3">
      <c r="A9" s="1">
        <v>6</v>
      </c>
      <c r="B9" s="5">
        <f>'Australian Open'!A25</f>
        <v>4</v>
      </c>
      <c r="C9" s="1" t="str">
        <f ca="1">'Australian Open'!B25</f>
        <v>Sampras</v>
      </c>
      <c r="D9" s="1">
        <f t="shared" si="3"/>
        <v>6</v>
      </c>
      <c r="E9" s="1">
        <f t="shared" ca="1" si="4"/>
        <v>10</v>
      </c>
      <c r="F9" s="1">
        <f ca="1">VLOOKUP(C9,'Australian Open'!DW25:EM40, 17, FALSE)</f>
        <v>11</v>
      </c>
      <c r="G9" s="4">
        <f ca="1">HLOOKUP(E9, 'Australian Open'!$DX$20:$EL$36,A9, FALSE)</f>
        <v>-19.022513058753457</v>
      </c>
      <c r="M9" s="1" t="str">
        <f ca="1">IF(L10&gt;L11, H10, H11)</f>
        <v>Agassi</v>
      </c>
      <c r="N9" s="1">
        <f ca="1">VLOOKUP(M9, $H$6:$I$19, 2, FALSE)</f>
        <v>9</v>
      </c>
      <c r="O9" s="1">
        <f ca="1">RANDBETWEEN(1,P9)</f>
        <v>3</v>
      </c>
      <c r="P9" s="1">
        <f ca="1">VLOOKUP(M9, $H$6:$L$19, 4, FALSE)</f>
        <v>10</v>
      </c>
      <c r="Q9" s="4">
        <f ca="1">HLOOKUP(O9, 'Australian Open'!$DX$20:$EL$36,N9, FALSE)</f>
        <v>104.88543599032444</v>
      </c>
    </row>
    <row r="10" spans="1:41 16384:16384" x14ac:dyDescent="0.3">
      <c r="A10" s="1">
        <v>7</v>
      </c>
      <c r="B10" s="5">
        <f>'Australian Open'!A26</f>
        <v>5</v>
      </c>
      <c r="C10" s="1" t="str">
        <f ca="1">'Australian Open'!B26</f>
        <v>Courier</v>
      </c>
      <c r="D10" s="1">
        <f t="shared" si="3"/>
        <v>7</v>
      </c>
      <c r="E10" s="1">
        <f t="shared" ca="1" si="4"/>
        <v>3</v>
      </c>
      <c r="F10" s="1">
        <f ca="1">VLOOKUP(C10,'Australian Open'!DW26:EM41, 17, FALSE)</f>
        <v>10</v>
      </c>
      <c r="G10" s="4">
        <f ca="1">HLOOKUP(E10, 'Australian Open'!$DX$20:$EL$36,A10, FALSE)</f>
        <v>376.16221792201389</v>
      </c>
      <c r="H10" s="1" t="str">
        <f ca="1">IF(G9&gt;G10, C9, C10)</f>
        <v>Courier</v>
      </c>
      <c r="I10" s="1">
        <f ca="1">VLOOKUP(H10, $C$5:$D$20, 2, FALSE)</f>
        <v>7</v>
      </c>
      <c r="J10" s="1">
        <f ca="1">RANDBETWEEN(1,K10)</f>
        <v>7</v>
      </c>
      <c r="K10" s="1">
        <f ca="1">VLOOKUP(H10, $C$5:$F$20, 4, FALSE)</f>
        <v>10</v>
      </c>
      <c r="L10" s="4">
        <f ca="1">HLOOKUP(J10, 'Australian Open'!$DX$20:$EL$36,I10, FALSE)</f>
        <v>119.16221792201388</v>
      </c>
    </row>
    <row r="11" spans="1:41 16384:16384" x14ac:dyDescent="0.3">
      <c r="A11" s="1">
        <v>8</v>
      </c>
      <c r="B11" s="5">
        <f>'Australian Open'!A27</f>
        <v>6</v>
      </c>
      <c r="C11" s="1" t="str">
        <f ca="1">'Australian Open'!B27</f>
        <v>McEnroe</v>
      </c>
      <c r="D11" s="1">
        <f t="shared" si="3"/>
        <v>8</v>
      </c>
      <c r="E11" s="1">
        <f t="shared" ca="1" si="4"/>
        <v>7</v>
      </c>
      <c r="F11" s="1">
        <f ca="1">VLOOKUP(C11,'Australian Open'!DW27:EM42, 17, FALSE)</f>
        <v>10</v>
      </c>
      <c r="G11" s="4">
        <f ca="1">HLOOKUP(E11, 'Australian Open'!$DX$20:$EL$36,A11, FALSE)</f>
        <v>11.162217922013891</v>
      </c>
      <c r="H11" s="1" t="str">
        <f ca="1">IF(G11&gt;G12, C11, C12)</f>
        <v>Agassi</v>
      </c>
      <c r="I11" s="1">
        <f ca="1">VLOOKUP(H11, $C$5:$D$20, 2, FALSE)</f>
        <v>9</v>
      </c>
      <c r="J11" s="1">
        <f ca="1">RANDBETWEEN(1,K11)</f>
        <v>6</v>
      </c>
      <c r="K11" s="1">
        <f ca="1">VLOOKUP(H11, $C$5:$F$20, 4, FALSE)</f>
        <v>10</v>
      </c>
      <c r="L11" s="4">
        <f ca="1">HLOOKUP(J11, 'Australian Open'!$DX$20:$EL$36,I11, FALSE)</f>
        <v>428.88543599032442</v>
      </c>
    </row>
    <row r="12" spans="1:41 16384:16384" x14ac:dyDescent="0.3">
      <c r="A12" s="1">
        <v>9</v>
      </c>
      <c r="B12" s="1">
        <f ca="1">'Australian Open'!A28</f>
        <v>4</v>
      </c>
      <c r="C12" s="1" t="str">
        <f ca="1">'Australian Open'!B28</f>
        <v>Agassi</v>
      </c>
      <c r="D12" s="1">
        <f t="shared" si="3"/>
        <v>9</v>
      </c>
      <c r="E12" s="1">
        <f t="shared" ca="1" si="4"/>
        <v>2</v>
      </c>
      <c r="F12" s="1">
        <f ca="1">VLOOKUP(C12,'Australian Open'!DW28:EM43, 17, FALSE)</f>
        <v>10</v>
      </c>
      <c r="G12" s="4">
        <f ca="1">HLOOKUP(E12, 'Australian Open'!$DX$20:$EL$36,A12, FALSE)</f>
        <v>186.88543599032445</v>
      </c>
      <c r="R12" s="1" t="str">
        <f ca="1">IF(Q8&gt;Q9, M8, M9)</f>
        <v>Federer</v>
      </c>
      <c r="S12" s="1">
        <f ca="1">VLOOKUP(R12, $M$8:$N$17, 2, FALSE)</f>
        <v>2</v>
      </c>
      <c r="T12" s="1">
        <f ca="1">RANDBETWEEN(1,U12)</f>
        <v>3</v>
      </c>
      <c r="U12" s="1">
        <f ca="1">VLOOKUP(R12, $M$8:$Q$17, 4, FALSE)</f>
        <v>15</v>
      </c>
      <c r="V12" s="4">
        <f ca="1">HLOOKUP(T12, 'Australian Open'!$DX$20:$EL$36,S12, FALSE)</f>
        <v>168.30287839006499</v>
      </c>
    </row>
    <row r="13" spans="1:41 16384:16384" x14ac:dyDescent="0.3">
      <c r="A13" s="1">
        <v>10</v>
      </c>
      <c r="B13" s="1">
        <f ca="1">'Australian Open'!A29</f>
        <v>3</v>
      </c>
      <c r="C13" s="1" t="str">
        <f ca="1">'Australian Open'!B29</f>
        <v>Nadal</v>
      </c>
      <c r="D13" s="1">
        <f t="shared" si="3"/>
        <v>10</v>
      </c>
      <c r="E13" s="1">
        <f t="shared" ca="1" si="4"/>
        <v>9</v>
      </c>
      <c r="F13" s="1">
        <f ca="1">VLOOKUP(C13,'Australian Open'!DW29:EM44, 17, FALSE)</f>
        <v>13</v>
      </c>
      <c r="G13" s="4">
        <f ca="1">HLOOKUP(E13, 'Australian Open'!$DX$20:$EL$36,A13, FALSE)</f>
        <v>144.22788275536357</v>
      </c>
      <c r="R13" s="1" t="str">
        <f ca="1">IF(Q16&gt;Q17, M16, M17)</f>
        <v>Nadal</v>
      </c>
      <c r="S13" s="1">
        <f ca="1">VLOOKUP(R13, $M$8:$N$17, 2, FALSE)</f>
        <v>10</v>
      </c>
      <c r="T13" s="1">
        <f ca="1">RANDBETWEEN(1,U13)</f>
        <v>2</v>
      </c>
      <c r="U13" s="1">
        <f ca="1">VLOOKUP(R13, $M$8:$Q$17, 4, FALSE)</f>
        <v>13</v>
      </c>
      <c r="V13" s="4">
        <f ca="1">HLOOKUP(T13, 'Australian Open'!$DX$20:$EL$36,S13, FALSE)</f>
        <v>195.22788275536357</v>
      </c>
    </row>
    <row r="14" spans="1:41 16384:16384" x14ac:dyDescent="0.3">
      <c r="A14" s="1">
        <v>11</v>
      </c>
      <c r="B14" s="6">
        <f>'Australian Open'!A30</f>
        <v>7</v>
      </c>
      <c r="C14" s="1" t="str">
        <f ca="1">'Australian Open'!B30</f>
        <v>Lendl</v>
      </c>
      <c r="D14" s="1">
        <f t="shared" si="3"/>
        <v>11</v>
      </c>
      <c r="E14" s="1">
        <f t="shared" ca="1" si="4"/>
        <v>4</v>
      </c>
      <c r="F14" s="1">
        <f ca="1">VLOOKUP(C14,'Australian Open'!DW30:EM45, 17, FALSE)</f>
        <v>12</v>
      </c>
      <c r="G14" s="4">
        <f ca="1">HLOOKUP(E14, 'Australian Open'!$DX$20:$EL$36,A14, FALSE)</f>
        <v>144.16221792201389</v>
      </c>
      <c r="H14" s="1" t="str">
        <f ca="1">IF(G13&gt;G14, C13, C14)</f>
        <v>Nadal</v>
      </c>
      <c r="I14" s="1">
        <f ca="1">VLOOKUP(H14, $C$5:$D$20, 2, FALSE)</f>
        <v>10</v>
      </c>
      <c r="J14" s="1">
        <f ca="1">RANDBETWEEN(1,K14)</f>
        <v>11</v>
      </c>
      <c r="K14" s="1">
        <f ca="1">VLOOKUP(H14, $C$5:$F$20, 4, FALSE)</f>
        <v>13</v>
      </c>
      <c r="L14" s="4">
        <f ca="1">HLOOKUP(J14, 'Australian Open'!$DX$20:$EL$36,I14, FALSE)</f>
        <v>223.22788275536357</v>
      </c>
      <c r="W14" s="1" t="s">
        <v>4</v>
      </c>
      <c r="X14" s="1" t="str">
        <f ca="1">IF(V12&gt;V13,R12,R13)</f>
        <v>Nadal</v>
      </c>
    </row>
    <row r="15" spans="1:41 16384:16384" x14ac:dyDescent="0.3">
      <c r="A15" s="1">
        <v>12</v>
      </c>
      <c r="B15" s="6">
        <f>'Australian Open'!A31</f>
        <v>8</v>
      </c>
      <c r="C15" s="1" t="str">
        <f ca="1">'Australian Open'!B31</f>
        <v>Wawrinka</v>
      </c>
      <c r="D15" s="1">
        <f t="shared" si="3"/>
        <v>12</v>
      </c>
      <c r="E15" s="1">
        <f t="shared" ca="1" si="4"/>
        <v>2</v>
      </c>
      <c r="F15" s="1">
        <f ca="1">VLOOKUP(C15,'Australian Open'!DW31:EM46, 17, FALSE)</f>
        <v>13</v>
      </c>
      <c r="G15" s="4">
        <f ca="1">HLOOKUP(E15, 'Australian Open'!$DX$20:$EL$36,A15, FALSE)</f>
        <v>-4.7721172446364228</v>
      </c>
      <c r="H15" s="1" t="str">
        <f ca="1">IF(G15&gt;G16, C15, C16)</f>
        <v>Wawrinka</v>
      </c>
      <c r="I15" s="1">
        <f ca="1">VLOOKUP(H15, $C$5:$D$20, 2, FALSE)</f>
        <v>12</v>
      </c>
      <c r="J15" s="1">
        <f ca="1">RANDBETWEEN(1,K15)</f>
        <v>11</v>
      </c>
      <c r="K15" s="1">
        <f ca="1">VLOOKUP(H15, $C$5:$F$20, 4, FALSE)</f>
        <v>13</v>
      </c>
      <c r="L15" s="4">
        <f ca="1">HLOOKUP(J15, 'Australian Open'!$DX$20:$EL$36,I15, FALSE)</f>
        <v>-103.77211724463642</v>
      </c>
    </row>
    <row r="16" spans="1:41 16384:16384" x14ac:dyDescent="0.3">
      <c r="A16" s="1">
        <v>13</v>
      </c>
      <c r="B16" s="6">
        <f>'Australian Open'!A32</f>
        <v>9</v>
      </c>
      <c r="C16" s="1" t="str">
        <f ca="1">'Australian Open'!B32</f>
        <v>Wilander</v>
      </c>
      <c r="D16" s="1">
        <f t="shared" si="3"/>
        <v>13</v>
      </c>
      <c r="E16" s="1">
        <f t="shared" ca="1" si="4"/>
        <v>7</v>
      </c>
      <c r="F16" s="1">
        <f ca="1">VLOOKUP(C16,'Australian Open'!DW32:EM47, 17, FALSE)</f>
        <v>10</v>
      </c>
      <c r="G16" s="4">
        <f ca="1">HLOOKUP(E16, 'Australian Open'!$DX$20:$EL$36,A16, FALSE)</f>
        <v>-87.837782077986105</v>
      </c>
      <c r="M16" s="1" t="str">
        <f ca="1">IF(L14&gt;L15, H14, H15)</f>
        <v>Nadal</v>
      </c>
      <c r="N16" s="1">
        <f ca="1">VLOOKUP(M16, $H$6:$I$19, 2, FALSE)</f>
        <v>10</v>
      </c>
      <c r="O16" s="1">
        <f ca="1">RANDBETWEEN(1,P16)</f>
        <v>9</v>
      </c>
      <c r="P16" s="1">
        <f ca="1">VLOOKUP(M16, $H$6:$L$19, 4, FALSE)</f>
        <v>13</v>
      </c>
      <c r="Q16" s="4">
        <f ca="1">HLOOKUP(O16, 'Australian Open'!$DX$20:$EL$36,N16, FALSE)</f>
        <v>144.22788275536357</v>
      </c>
    </row>
    <row r="17" spans="1:17" x14ac:dyDescent="0.3">
      <c r="A17" s="1">
        <v>14</v>
      </c>
      <c r="B17" s="6">
        <f>'Australian Open'!A33</f>
        <v>10</v>
      </c>
      <c r="C17" s="1" t="str">
        <f ca="1">'Australian Open'!B33</f>
        <v>Murray</v>
      </c>
      <c r="D17" s="1">
        <f t="shared" si="3"/>
        <v>14</v>
      </c>
      <c r="E17" s="1">
        <f t="shared" ca="1" si="4"/>
        <v>1</v>
      </c>
      <c r="F17" s="1">
        <f ca="1">VLOOKUP(C17,'Australian Open'!DW33:EM48, 17, FALSE)</f>
        <v>12</v>
      </c>
      <c r="G17" s="4">
        <f ca="1">HLOOKUP(E17, 'Australian Open'!$DX$20:$EL$36,A17, FALSE)</f>
        <v>162.22788275536357</v>
      </c>
      <c r="M17" s="1" t="str">
        <f ca="1">IF(L18&gt;L19, H18, H19)</f>
        <v>Murray</v>
      </c>
      <c r="N17" s="1">
        <f ca="1">VLOOKUP(M17, $H$6:$I$19, 2, FALSE)</f>
        <v>14</v>
      </c>
      <c r="O17" s="1">
        <f ca="1">RANDBETWEEN(1,P17)</f>
        <v>10</v>
      </c>
      <c r="P17" s="1">
        <f ca="1">VLOOKUP(M17, $H$6:$L$19, 4, FALSE)</f>
        <v>12</v>
      </c>
      <c r="Q17" s="4">
        <f ca="1">HLOOKUP(O17, 'Australian Open'!$DX$20:$EL$36,N17, FALSE)</f>
        <v>17.227882755363559</v>
      </c>
    </row>
    <row r="18" spans="1:17" x14ac:dyDescent="0.3">
      <c r="A18" s="1">
        <v>15</v>
      </c>
      <c r="B18" s="6">
        <f>'Australian Open'!A34</f>
        <v>11</v>
      </c>
      <c r="C18" s="1" t="str">
        <f ca="1">'Australian Open'!B34</f>
        <v>Connors</v>
      </c>
      <c r="D18" s="1">
        <f t="shared" si="3"/>
        <v>15</v>
      </c>
      <c r="E18" s="1">
        <f t="shared" ca="1" si="4"/>
        <v>7</v>
      </c>
      <c r="F18" s="1">
        <f ca="1">VLOOKUP(C18,'Australian Open'!DW34:EM49, 17, FALSE)</f>
        <v>10</v>
      </c>
      <c r="G18" s="4">
        <f ca="1">HLOOKUP(E18, 'Australian Open'!$DX$20:$EL$36,A18, FALSE)</f>
        <v>11.162217922013888</v>
      </c>
      <c r="H18" s="1" t="str">
        <f ca="1">IF(G17&gt;G18, C17, C18)</f>
        <v>Murray</v>
      </c>
      <c r="I18" s="1">
        <f ca="1">VLOOKUP(H18, $C$5:$D$20, 2, FALSE)</f>
        <v>14</v>
      </c>
      <c r="J18" s="1">
        <f ca="1">RANDBETWEEN(1,K18)</f>
        <v>2</v>
      </c>
      <c r="K18" s="1">
        <f ca="1">VLOOKUP(H18, $C$5:$F$20, 4, FALSE)</f>
        <v>12</v>
      </c>
      <c r="L18" s="4">
        <f ca="1">HLOOKUP(J18, 'Australian Open'!$DX$20:$EL$36,I18, FALSE)</f>
        <v>97.227882755363567</v>
      </c>
    </row>
    <row r="19" spans="1:17" x14ac:dyDescent="0.3">
      <c r="A19" s="1">
        <v>16</v>
      </c>
      <c r="B19" s="6">
        <f>'Australian Open'!A35</f>
        <v>12</v>
      </c>
      <c r="C19" s="1" t="str">
        <f ca="1">'Australian Open'!B35</f>
        <v>Borg</v>
      </c>
      <c r="D19" s="1">
        <f t="shared" si="3"/>
        <v>16</v>
      </c>
      <c r="E19" s="1">
        <f t="shared" ca="1" si="4"/>
        <v>4</v>
      </c>
      <c r="F19" s="1">
        <f ca="1">VLOOKUP(C19,'Australian Open'!DW35:EM50, 17, FALSE)</f>
        <v>10</v>
      </c>
      <c r="G19" s="4">
        <f ca="1">HLOOKUP(E19, 'Australian Open'!$DX$20:$EL$36,A19, FALSE)</f>
        <v>11.162217922013884</v>
      </c>
      <c r="H19" s="1" t="str">
        <f ca="1">IF(G19&gt;G20, C19, C20)</f>
        <v>Borg</v>
      </c>
      <c r="I19" s="1">
        <f ca="1">VLOOKUP(H19, $C$5:$D$20, 2, FALSE)</f>
        <v>16</v>
      </c>
      <c r="J19" s="1">
        <f ca="1">RANDBETWEEN(1,K19)</f>
        <v>8</v>
      </c>
      <c r="K19" s="1">
        <f ca="1">VLOOKUP(H19, $C$5:$F$20, 4, FALSE)</f>
        <v>10</v>
      </c>
      <c r="L19" s="4">
        <f ca="1">HLOOKUP(J19, 'Australian Open'!$DX$20:$EL$36,I19, FALSE)</f>
        <v>11.162217922013884</v>
      </c>
    </row>
    <row r="20" spans="1:17" x14ac:dyDescent="0.3">
      <c r="A20" s="1">
        <v>17</v>
      </c>
      <c r="B20" s="1">
        <f>'Australian Open'!A36</f>
        <v>2</v>
      </c>
      <c r="C20" s="1" t="str">
        <f>'Australian Open'!B36</f>
        <v>Djokovic</v>
      </c>
      <c r="D20" s="1">
        <f t="shared" si="3"/>
        <v>17</v>
      </c>
      <c r="E20" s="1">
        <f t="shared" ca="1" si="4"/>
        <v>1</v>
      </c>
      <c r="F20" s="1">
        <f>VLOOKUP(C20,'Australian Open'!DW36:EM51, 17, FALSE)</f>
        <v>14</v>
      </c>
      <c r="G20" s="4">
        <f ca="1">HLOOKUP(E20, 'Australian Open'!$DX$20:$EL$36,A20, FALSE)</f>
        <v>-11.772117244636421</v>
      </c>
    </row>
  </sheetData>
  <conditionalFormatting sqref="Y4:AN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AO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M36"/>
  <sheetViews>
    <sheetView topLeftCell="V1" workbookViewId="0">
      <selection activeCell="AX24" sqref="AX24"/>
    </sheetView>
  </sheetViews>
  <sheetFormatPr defaultColWidth="10.796875" defaultRowHeight="15.6" x14ac:dyDescent="0.3"/>
  <cols>
    <col min="1" max="1" width="3.69921875" style="2" customWidth="1"/>
    <col min="2" max="2" width="10.796875" style="2"/>
    <col min="3" max="3" width="0" style="2" hidden="1" customWidth="1"/>
    <col min="4" max="4" width="6.796875" style="2" customWidth="1"/>
    <col min="5" max="5" width="3.796875" style="2" customWidth="1"/>
    <col min="6" max="6" width="10.796875" style="2"/>
    <col min="7" max="29" width="4.19921875" style="2" customWidth="1"/>
    <col min="30" max="30" width="10.796875" style="2" customWidth="1"/>
    <col min="31" max="53" width="2.796875" style="2" customWidth="1"/>
    <col min="54" max="54" width="10.796875" style="2" customWidth="1"/>
    <col min="55" max="92" width="4.19921875" style="2" customWidth="1"/>
    <col min="93" max="93" width="10.796875" style="2"/>
    <col min="94" max="108" width="4.19921875" style="2" customWidth="1"/>
    <col min="109" max="111" width="4.296875" style="2" customWidth="1"/>
    <col min="112" max="126" width="4.5" style="2" customWidth="1"/>
    <col min="127" max="127" width="10.796875" style="2"/>
    <col min="128" max="142" width="4.19921875" style="2" customWidth="1"/>
    <col min="143" max="16384" width="10.796875" style="2"/>
  </cols>
  <sheetData>
    <row r="1" spans="1:111" x14ac:dyDescent="0.3">
      <c r="A1" s="13" t="s">
        <v>0</v>
      </c>
      <c r="B1" s="13"/>
      <c r="G1" s="2">
        <v>2</v>
      </c>
      <c r="H1" s="2">
        <v>3</v>
      </c>
      <c r="I1" s="2">
        <v>4</v>
      </c>
      <c r="J1" s="2">
        <v>5</v>
      </c>
      <c r="K1" s="2">
        <v>6</v>
      </c>
      <c r="L1" s="2">
        <v>7</v>
      </c>
      <c r="M1" s="2">
        <v>8</v>
      </c>
      <c r="N1" s="2">
        <v>9</v>
      </c>
      <c r="O1" s="2">
        <v>10</v>
      </c>
      <c r="P1" s="2">
        <v>11</v>
      </c>
      <c r="Q1" s="2">
        <v>12</v>
      </c>
      <c r="R1" s="2">
        <v>13</v>
      </c>
      <c r="S1" s="2">
        <v>14</v>
      </c>
      <c r="T1" s="2">
        <v>15</v>
      </c>
      <c r="U1" s="2">
        <v>16</v>
      </c>
      <c r="V1" s="2">
        <v>17</v>
      </c>
      <c r="W1" s="2">
        <v>18</v>
      </c>
      <c r="X1" s="2">
        <v>19</v>
      </c>
      <c r="Y1" s="2">
        <v>20</v>
      </c>
      <c r="Z1" s="2">
        <v>21</v>
      </c>
      <c r="AA1" s="2">
        <v>22</v>
      </c>
      <c r="AB1" s="2">
        <v>23</v>
      </c>
      <c r="AC1" s="2">
        <v>24</v>
      </c>
      <c r="AE1" s="2">
        <v>2</v>
      </c>
      <c r="AF1" s="2">
        <v>3</v>
      </c>
      <c r="AG1" s="2">
        <v>4</v>
      </c>
      <c r="AH1" s="2">
        <v>5</v>
      </c>
      <c r="AI1" s="2">
        <v>6</v>
      </c>
      <c r="AJ1" s="2">
        <v>7</v>
      </c>
      <c r="AK1" s="2">
        <v>8</v>
      </c>
      <c r="AL1" s="2">
        <v>9</v>
      </c>
      <c r="AM1" s="2">
        <v>10</v>
      </c>
      <c r="AN1" s="2">
        <v>11</v>
      </c>
      <c r="AO1" s="2">
        <v>12</v>
      </c>
      <c r="AP1" s="2">
        <v>13</v>
      </c>
      <c r="AQ1" s="2">
        <v>14</v>
      </c>
      <c r="AR1" s="2">
        <v>15</v>
      </c>
      <c r="AS1" s="2">
        <v>16</v>
      </c>
      <c r="AT1" s="2">
        <v>17</v>
      </c>
      <c r="AU1" s="2">
        <v>18</v>
      </c>
      <c r="AV1" s="2">
        <v>19</v>
      </c>
      <c r="AW1" s="2">
        <v>20</v>
      </c>
      <c r="AX1" s="2">
        <v>21</v>
      </c>
      <c r="AY1" s="2">
        <v>22</v>
      </c>
      <c r="AZ1" s="2">
        <v>23</v>
      </c>
      <c r="BA1" s="2">
        <v>24</v>
      </c>
      <c r="BZ1" s="2">
        <v>1</v>
      </c>
      <c r="CA1" s="2">
        <v>2</v>
      </c>
      <c r="CB1" s="2">
        <v>3</v>
      </c>
      <c r="CC1" s="2">
        <v>4</v>
      </c>
      <c r="CD1" s="2">
        <v>5</v>
      </c>
      <c r="CE1" s="2">
        <v>6</v>
      </c>
      <c r="CF1" s="2">
        <v>7</v>
      </c>
      <c r="CG1" s="2">
        <v>8</v>
      </c>
      <c r="CH1" s="2">
        <v>9</v>
      </c>
      <c r="CI1" s="2">
        <v>10</v>
      </c>
      <c r="CJ1" s="2">
        <v>11</v>
      </c>
      <c r="CK1" s="2">
        <v>12</v>
      </c>
      <c r="CL1" s="2">
        <v>13</v>
      </c>
      <c r="CM1" s="2">
        <v>14</v>
      </c>
      <c r="CN1" s="2">
        <v>15</v>
      </c>
      <c r="CP1" s="2">
        <v>1</v>
      </c>
      <c r="CQ1" s="2">
        <v>2</v>
      </c>
      <c r="CR1" s="2">
        <v>3</v>
      </c>
      <c r="CS1" s="2">
        <v>4</v>
      </c>
      <c r="CT1" s="2">
        <v>5</v>
      </c>
      <c r="CU1" s="2">
        <v>6</v>
      </c>
      <c r="CV1" s="2">
        <v>7</v>
      </c>
      <c r="CW1" s="2">
        <v>8</v>
      </c>
      <c r="CX1" s="2">
        <v>9</v>
      </c>
      <c r="CY1" s="2">
        <v>10</v>
      </c>
      <c r="CZ1" s="2">
        <v>11</v>
      </c>
      <c r="DA1" s="2">
        <v>12</v>
      </c>
      <c r="DB1" s="2">
        <v>13</v>
      </c>
      <c r="DC1" s="2">
        <v>14</v>
      </c>
      <c r="DD1" s="2">
        <v>15</v>
      </c>
    </row>
    <row r="2" spans="1:111" x14ac:dyDescent="0.3">
      <c r="A2" s="2">
        <v>1</v>
      </c>
      <c r="B2" s="2" t="str">
        <f>VLOOKUP(A2,[1]Ranking!$X$3:$AA$19, 4, FALSE)</f>
        <v>Nadal</v>
      </c>
      <c r="C2" s="2" t="s">
        <v>5</v>
      </c>
      <c r="G2" s="2">
        <f>VLOOKUP($C2,[1]Data!$C$3:$Z$86,G$1, FALSE)</f>
        <v>0</v>
      </c>
      <c r="H2" s="2">
        <f>VLOOKUP($C2,[1]Data!$C$3:$Z$86,H$1, FALSE)</f>
        <v>0</v>
      </c>
      <c r="I2" s="2">
        <f>VLOOKUP($C2,[1]Data!$C$3:$Z$86,I$1, FALSE)</f>
        <v>497</v>
      </c>
      <c r="J2" s="2">
        <f>VLOOKUP($C2,[1]Data!$C$3:$Z$86,J$1, FALSE)</f>
        <v>453</v>
      </c>
      <c r="K2" s="2">
        <f>VLOOKUP($C2,[1]Data!$C$3:$Z$86,K$1, FALSE)</f>
        <v>498</v>
      </c>
      <c r="L2" s="2">
        <f>VLOOKUP($C2,[1]Data!$C$3:$Z$86,L$1, FALSE)</f>
        <v>481</v>
      </c>
      <c r="M2" s="2">
        <f>VLOOKUP($C2,[1]Data!$C$3:$Z$86,M$1, FALSE)</f>
        <v>58</v>
      </c>
      <c r="N2" s="2">
        <f>VLOOKUP($C2,[1]Data!$C$3:$Z$86,N$1, FALSE)</f>
        <v>509</v>
      </c>
      <c r="O2" s="2">
        <f>VLOOKUP($C2,[1]Data!$C$3:$Z$86,O$1, FALSE)</f>
        <v>515</v>
      </c>
      <c r="P2" s="2">
        <f>VLOOKUP($C2,[1]Data!$C$3:$Z$86,P$1, FALSE)</f>
        <v>477</v>
      </c>
      <c r="Q2" s="2">
        <f>VLOOKUP($C2,[1]Data!$C$3:$Z$86,Q$1, FALSE)</f>
        <v>552</v>
      </c>
      <c r="R2" s="2">
        <f>VLOOKUP($C2,[1]Data!$C$3:$Z$86,R$1, FALSE)</f>
        <v>432</v>
      </c>
      <c r="S2" s="2">
        <f>VLOOKUP($C2,[1]Data!$C$3:$Z$86,S$1, FALSE)</f>
        <v>85</v>
      </c>
      <c r="T2" s="2">
        <f>VLOOKUP($C2,[1]Data!$C$3:$Z$86,T$1, FALSE)</f>
        <v>-54</v>
      </c>
      <c r="U2" s="2">
        <f>VLOOKUP($C2,[1]Data!$C$3:$Z$86,U$1, FALSE)</f>
        <v>550</v>
      </c>
      <c r="V2" s="2">
        <f>VLOOKUP($C2,[1]Data!$C$3:$Z$86,V$1, FALSE)</f>
        <v>453</v>
      </c>
      <c r="W2" s="2">
        <f>VLOOKUP($C2,[1]Data!$C$3:$Z$86,W$1, FALSE)</f>
        <v>0</v>
      </c>
      <c r="X2" s="2">
        <f>VLOOKUP($C2,[1]Data!$C$3:$Z$86,X$1, FALSE)</f>
        <v>0</v>
      </c>
      <c r="Y2" s="2">
        <f>VLOOKUP($C2,[1]Data!$C$3:$Z$86,Y$1, FALSE)</f>
        <v>0</v>
      </c>
      <c r="Z2" s="2">
        <f>VLOOKUP($C2,[1]Data!$C$3:$Z$86,Z$1, FALSE)</f>
        <v>0</v>
      </c>
      <c r="AA2" s="2">
        <f>VLOOKUP($C2,[1]Data!$C$3:$Z$86,AA$1, FALSE)</f>
        <v>0</v>
      </c>
      <c r="AB2" s="2">
        <f>VLOOKUP($C2,[1]Data!$C$3:$Z$86,AB$1, FALSE)</f>
        <v>0</v>
      </c>
      <c r="AC2" s="2">
        <f>VLOOKUP($C2,[1]Data!$C$3:$Z$86,AC$1, FALSE)</f>
        <v>0</v>
      </c>
      <c r="AE2" s="2">
        <f t="shared" ref="AE2:AT5" si="0">RANK(G2,$G2:$AC2)</f>
        <v>14</v>
      </c>
      <c r="AF2" s="2">
        <f t="shared" si="0"/>
        <v>14</v>
      </c>
      <c r="AG2" s="2">
        <f t="shared" si="0"/>
        <v>6</v>
      </c>
      <c r="AH2" s="2">
        <f t="shared" si="0"/>
        <v>9</v>
      </c>
      <c r="AI2" s="2">
        <f t="shared" si="0"/>
        <v>5</v>
      </c>
      <c r="AJ2" s="2">
        <f t="shared" si="0"/>
        <v>7</v>
      </c>
      <c r="AK2" s="2">
        <f t="shared" si="0"/>
        <v>13</v>
      </c>
      <c r="AL2" s="2">
        <f t="shared" si="0"/>
        <v>4</v>
      </c>
      <c r="AM2" s="2">
        <f t="shared" si="0"/>
        <v>3</v>
      </c>
      <c r="AN2" s="2">
        <f t="shared" si="0"/>
        <v>8</v>
      </c>
      <c r="AO2" s="2">
        <f t="shared" si="0"/>
        <v>1</v>
      </c>
      <c r="AP2" s="2">
        <f t="shared" si="0"/>
        <v>11</v>
      </c>
      <c r="AQ2" s="2">
        <f t="shared" si="0"/>
        <v>12</v>
      </c>
      <c r="AR2" s="2">
        <f t="shared" si="0"/>
        <v>23</v>
      </c>
      <c r="AS2" s="2">
        <f t="shared" si="0"/>
        <v>2</v>
      </c>
      <c r="AT2" s="2">
        <f t="shared" si="0"/>
        <v>9</v>
      </c>
      <c r="AU2" s="2">
        <f t="shared" ref="AO2:BA5" si="1">RANK(W2,$G2:$AC2)</f>
        <v>14</v>
      </c>
      <c r="AV2" s="2">
        <f t="shared" si="1"/>
        <v>14</v>
      </c>
      <c r="AW2" s="2">
        <f t="shared" si="1"/>
        <v>14</v>
      </c>
      <c r="AX2" s="2">
        <f t="shared" si="1"/>
        <v>14</v>
      </c>
      <c r="AY2" s="2">
        <f t="shared" si="1"/>
        <v>14</v>
      </c>
      <c r="AZ2" s="2">
        <f t="shared" si="1"/>
        <v>14</v>
      </c>
      <c r="BA2" s="2">
        <f t="shared" si="1"/>
        <v>14</v>
      </c>
      <c r="BC2" s="2" t="str">
        <f t="shared" ref="BC2:BY5" si="2">IF(AE2&gt;15, "", IF(G2=0, "", G2))</f>
        <v/>
      </c>
      <c r="BD2" s="2" t="str">
        <f t="shared" si="2"/>
        <v/>
      </c>
      <c r="BE2" s="2">
        <f t="shared" si="2"/>
        <v>497</v>
      </c>
      <c r="BF2" s="2">
        <f t="shared" si="2"/>
        <v>453</v>
      </c>
      <c r="BG2" s="2">
        <f t="shared" si="2"/>
        <v>498</v>
      </c>
      <c r="BH2" s="2">
        <f t="shared" si="2"/>
        <v>481</v>
      </c>
      <c r="BI2" s="2">
        <f t="shared" si="2"/>
        <v>58</v>
      </c>
      <c r="BJ2" s="2">
        <f t="shared" si="2"/>
        <v>509</v>
      </c>
      <c r="BK2" s="2">
        <f t="shared" si="2"/>
        <v>515</v>
      </c>
      <c r="BL2" s="2">
        <f t="shared" si="2"/>
        <v>477</v>
      </c>
      <c r="BM2" s="2">
        <f t="shared" si="2"/>
        <v>552</v>
      </c>
      <c r="BN2" s="2">
        <f t="shared" si="2"/>
        <v>432</v>
      </c>
      <c r="BO2" s="2">
        <f t="shared" si="2"/>
        <v>85</v>
      </c>
      <c r="BP2" s="2">
        <v>-54</v>
      </c>
      <c r="BQ2" s="2">
        <f t="shared" si="2"/>
        <v>550</v>
      </c>
      <c r="BR2" s="2">
        <f t="shared" si="2"/>
        <v>453</v>
      </c>
      <c r="BS2" s="2" t="str">
        <f t="shared" si="2"/>
        <v/>
      </c>
      <c r="BT2" s="2" t="str">
        <f t="shared" si="2"/>
        <v/>
      </c>
      <c r="BU2" s="2" t="str">
        <f t="shared" si="2"/>
        <v/>
      </c>
      <c r="BV2" s="2" t="str">
        <f t="shared" si="2"/>
        <v/>
      </c>
      <c r="BW2" s="2" t="str">
        <f t="shared" si="2"/>
        <v/>
      </c>
      <c r="BX2" s="2" t="str">
        <f t="shared" si="2"/>
        <v/>
      </c>
      <c r="BY2" s="2" t="str">
        <f t="shared" si="2"/>
        <v/>
      </c>
      <c r="BZ2" s="2">
        <f>BE2</f>
        <v>497</v>
      </c>
      <c r="CA2" s="2">
        <f t="shared" ref="CA2:CJ2" si="3">BF2</f>
        <v>453</v>
      </c>
      <c r="CB2" s="2">
        <f t="shared" si="3"/>
        <v>498</v>
      </c>
      <c r="CC2" s="2">
        <f t="shared" si="3"/>
        <v>481</v>
      </c>
      <c r="CD2" s="2">
        <f t="shared" si="3"/>
        <v>58</v>
      </c>
      <c r="CE2" s="2">
        <f t="shared" si="3"/>
        <v>509</v>
      </c>
      <c r="CF2" s="2">
        <f t="shared" si="3"/>
        <v>515</v>
      </c>
      <c r="CG2" s="2">
        <f t="shared" si="3"/>
        <v>477</v>
      </c>
      <c r="CH2" s="2">
        <f t="shared" si="3"/>
        <v>552</v>
      </c>
      <c r="CI2" s="2">
        <f t="shared" si="3"/>
        <v>432</v>
      </c>
      <c r="CJ2" s="2">
        <f t="shared" si="3"/>
        <v>85</v>
      </c>
      <c r="CK2" s="2">
        <f>BQ2</f>
        <v>550</v>
      </c>
      <c r="CL2" s="2">
        <f>BR2</f>
        <v>453</v>
      </c>
      <c r="CM2" s="2">
        <f>BP2</f>
        <v>-54</v>
      </c>
      <c r="CO2" s="2" t="str">
        <f>B2</f>
        <v>Nadal</v>
      </c>
      <c r="CP2" s="4">
        <f>BZ2+$DG2</f>
        <v>489.22788275536357</v>
      </c>
      <c r="CQ2" s="4">
        <f t="shared" ref="CQ2:DD5" si="4">CA2+$DG2</f>
        <v>445.22788275536357</v>
      </c>
      <c r="CR2" s="4">
        <f t="shared" si="4"/>
        <v>490.22788275536357</v>
      </c>
      <c r="CS2" s="4">
        <f t="shared" si="4"/>
        <v>473.22788275536357</v>
      </c>
      <c r="CT2" s="4">
        <f t="shared" si="4"/>
        <v>50.227882755363581</v>
      </c>
      <c r="CU2" s="4">
        <f t="shared" si="4"/>
        <v>501.22788275536357</v>
      </c>
      <c r="CV2" s="4">
        <f t="shared" si="4"/>
        <v>507.22788275536357</v>
      </c>
      <c r="CW2" s="4">
        <f t="shared" si="4"/>
        <v>469.22788275536357</v>
      </c>
      <c r="CX2" s="4">
        <f t="shared" si="4"/>
        <v>544.22788275536357</v>
      </c>
      <c r="CY2" s="4">
        <f t="shared" si="4"/>
        <v>424.22788275536357</v>
      </c>
      <c r="CZ2" s="4">
        <f t="shared" si="4"/>
        <v>77.227882755363581</v>
      </c>
      <c r="DA2" s="4">
        <f t="shared" si="4"/>
        <v>542.22788275536357</v>
      </c>
      <c r="DB2" s="4">
        <f>CK2+$DG2</f>
        <v>542.22788275536357</v>
      </c>
      <c r="DC2" s="4">
        <f>CL2+$DG2</f>
        <v>445.22788275536357</v>
      </c>
      <c r="DD2" s="4"/>
      <c r="DE2" s="2">
        <f>VLOOKUP(B2,[1]Ranking!$C$3:$BM$19, 34, FALSE)</f>
        <v>53</v>
      </c>
      <c r="DF2" s="4">
        <f>VLOOKUP(B2,[1]Ranking!$C$3:$BM$19, 63, FALSE)</f>
        <v>-411.92221396573041</v>
      </c>
      <c r="DG2" s="4">
        <f>DF2/DE2</f>
        <v>-7.7721172446364228</v>
      </c>
    </row>
    <row r="3" spans="1:111" x14ac:dyDescent="0.3">
      <c r="A3" s="2">
        <v>2</v>
      </c>
      <c r="B3" s="2" t="str">
        <f>VLOOKUP(A3,[1]Ranking!$X$3:$AA$19, 4, FALSE)</f>
        <v>Djokovic</v>
      </c>
      <c r="C3" s="2" t="s">
        <v>6</v>
      </c>
      <c r="G3" s="2">
        <f>VLOOKUP($C3,[1]Data!$C$3:$Z$86,G$1, FALSE)</f>
        <v>21</v>
      </c>
      <c r="H3" s="2">
        <f>VLOOKUP($C3,[1]Data!$C$3:$Z$86,H$1, FALSE)</f>
        <v>305</v>
      </c>
      <c r="I3" s="2">
        <f>VLOOKUP($C3,[1]Data!$C$3:$Z$86,I$1, FALSE)</f>
        <v>91</v>
      </c>
      <c r="J3" s="2">
        <f>VLOOKUP($C3,[1]Data!$C$3:$Z$86,J$1, FALSE)</f>
        <v>160</v>
      </c>
      <c r="K3" s="2">
        <f>VLOOKUP($C3,[1]Data!$C$3:$Z$86,K$1, FALSE)</f>
        <v>-27</v>
      </c>
      <c r="L3" s="2">
        <f>VLOOKUP($C3,[1]Data!$C$3:$Z$86,L$1, FALSE)</f>
        <v>87</v>
      </c>
      <c r="M3" s="2">
        <f>VLOOKUP($C3,[1]Data!$C$3:$Z$86,M$1, FALSE)</f>
        <v>299</v>
      </c>
      <c r="N3" s="2">
        <f>VLOOKUP($C3,[1]Data!$C$3:$Z$86,N$1, FALSE)</f>
        <v>303</v>
      </c>
      <c r="O3" s="2">
        <f>VLOOKUP($C3,[1]Data!$C$3:$Z$86,O$1, FALSE)</f>
        <v>322</v>
      </c>
      <c r="P3" s="2">
        <f>VLOOKUP($C3,[1]Data!$C$3:$Z$86,P$1, FALSE)</f>
        <v>479</v>
      </c>
      <c r="Q3" s="2">
        <f>VLOOKUP($C3,[1]Data!$C$3:$Z$86,Q$1, FALSE)</f>
        <v>352</v>
      </c>
      <c r="R3" s="2">
        <f>VLOOKUP($C3,[1]Data!$C$3:$Z$86,R$1, FALSE)</f>
        <v>454</v>
      </c>
      <c r="S3" s="2">
        <f>VLOOKUP($C3,[1]Data!$C$3:$Z$86,S$1, FALSE)</f>
        <v>208</v>
      </c>
      <c r="T3" s="2">
        <f>VLOOKUP($C3,[1]Data!$C$3:$Z$86,T$1, FALSE)</f>
        <v>97</v>
      </c>
      <c r="U3" s="2">
        <f>VLOOKUP($C3,[1]Data!$C$3:$Z$86,U$1, FALSE)</f>
        <v>0</v>
      </c>
      <c r="V3" s="2">
        <f>VLOOKUP($C3,[1]Data!$C$3:$Z$86,V$1, FALSE)</f>
        <v>0</v>
      </c>
      <c r="W3" s="2">
        <f>VLOOKUP($C3,[1]Data!$C$3:$Z$86,W$1, FALSE)</f>
        <v>0</v>
      </c>
      <c r="X3" s="2">
        <f>VLOOKUP($C3,[1]Data!$C$3:$Z$86,X$1, FALSE)</f>
        <v>0</v>
      </c>
      <c r="Y3" s="2">
        <f>VLOOKUP($C3,[1]Data!$C$3:$Z$86,Y$1, FALSE)</f>
        <v>0</v>
      </c>
      <c r="Z3" s="2">
        <f>VLOOKUP($C3,[1]Data!$C$3:$Z$86,Z$1, FALSE)</f>
        <v>0</v>
      </c>
      <c r="AA3" s="2">
        <f>VLOOKUP($C3,[1]Data!$C$3:$Z$86,AA$1, FALSE)</f>
        <v>0</v>
      </c>
      <c r="AB3" s="2">
        <f>VLOOKUP($C3,[1]Data!$C$3:$Z$86,AB$1, FALSE)</f>
        <v>0</v>
      </c>
      <c r="AC3" s="2">
        <f>VLOOKUP($C3,[1]Data!$C$3:$Z$86,AC$1, FALSE)</f>
        <v>0</v>
      </c>
      <c r="AE3" s="2">
        <f t="shared" si="0"/>
        <v>13</v>
      </c>
      <c r="AF3" s="2">
        <f t="shared" si="0"/>
        <v>5</v>
      </c>
      <c r="AG3" s="2">
        <f t="shared" si="0"/>
        <v>11</v>
      </c>
      <c r="AH3" s="2">
        <f t="shared" si="0"/>
        <v>9</v>
      </c>
      <c r="AI3" s="2">
        <f t="shared" si="0"/>
        <v>23</v>
      </c>
      <c r="AJ3" s="2">
        <f t="shared" si="0"/>
        <v>12</v>
      </c>
      <c r="AK3" s="2">
        <f t="shared" si="0"/>
        <v>7</v>
      </c>
      <c r="AL3" s="2">
        <f t="shared" si="0"/>
        <v>6</v>
      </c>
      <c r="AM3" s="2">
        <f t="shared" si="0"/>
        <v>4</v>
      </c>
      <c r="AN3" s="2">
        <f t="shared" si="0"/>
        <v>1</v>
      </c>
      <c r="AO3" s="2">
        <f t="shared" si="1"/>
        <v>3</v>
      </c>
      <c r="AP3" s="2">
        <f t="shared" si="1"/>
        <v>2</v>
      </c>
      <c r="AQ3" s="2">
        <f t="shared" si="1"/>
        <v>8</v>
      </c>
      <c r="AR3" s="2">
        <f t="shared" si="1"/>
        <v>10</v>
      </c>
      <c r="AS3" s="2">
        <f t="shared" si="1"/>
        <v>14</v>
      </c>
      <c r="AT3" s="2">
        <f t="shared" si="1"/>
        <v>14</v>
      </c>
      <c r="AU3" s="2">
        <f t="shared" si="1"/>
        <v>14</v>
      </c>
      <c r="AV3" s="2">
        <f t="shared" si="1"/>
        <v>14</v>
      </c>
      <c r="AW3" s="2">
        <f t="shared" si="1"/>
        <v>14</v>
      </c>
      <c r="AX3" s="2">
        <f t="shared" si="1"/>
        <v>14</v>
      </c>
      <c r="AY3" s="2">
        <f t="shared" si="1"/>
        <v>14</v>
      </c>
      <c r="AZ3" s="2">
        <f t="shared" si="1"/>
        <v>14</v>
      </c>
      <c r="BA3" s="2">
        <f t="shared" si="1"/>
        <v>14</v>
      </c>
      <c r="BC3" s="2">
        <f t="shared" si="2"/>
        <v>21</v>
      </c>
      <c r="BD3" s="2">
        <f t="shared" si="2"/>
        <v>305</v>
      </c>
      <c r="BE3" s="2">
        <f t="shared" si="2"/>
        <v>91</v>
      </c>
      <c r="BF3" s="2">
        <f t="shared" si="2"/>
        <v>160</v>
      </c>
      <c r="BG3" s="2">
        <v>-27</v>
      </c>
      <c r="BH3" s="2">
        <f t="shared" si="2"/>
        <v>87</v>
      </c>
      <c r="BI3" s="2">
        <f t="shared" si="2"/>
        <v>299</v>
      </c>
      <c r="BJ3" s="2">
        <f t="shared" si="2"/>
        <v>303</v>
      </c>
      <c r="BK3" s="2">
        <f t="shared" si="2"/>
        <v>322</v>
      </c>
      <c r="BL3" s="2">
        <f t="shared" si="2"/>
        <v>479</v>
      </c>
      <c r="BM3" s="2">
        <f t="shared" si="2"/>
        <v>352</v>
      </c>
      <c r="BN3" s="2">
        <f t="shared" si="2"/>
        <v>454</v>
      </c>
      <c r="BO3" s="2">
        <f t="shared" si="2"/>
        <v>208</v>
      </c>
      <c r="BP3" s="2">
        <f t="shared" si="2"/>
        <v>97</v>
      </c>
      <c r="BQ3" s="2" t="str">
        <f t="shared" si="2"/>
        <v/>
      </c>
      <c r="BR3" s="2" t="str">
        <f t="shared" si="2"/>
        <v/>
      </c>
      <c r="BS3" s="2" t="str">
        <f t="shared" si="2"/>
        <v/>
      </c>
      <c r="BT3" s="2" t="str">
        <f t="shared" si="2"/>
        <v/>
      </c>
      <c r="BU3" s="2" t="str">
        <f t="shared" si="2"/>
        <v/>
      </c>
      <c r="BV3" s="2" t="str">
        <f t="shared" si="2"/>
        <v/>
      </c>
      <c r="BZ3" s="2">
        <f>BC3</f>
        <v>21</v>
      </c>
      <c r="CA3" s="2">
        <f>BD3</f>
        <v>305</v>
      </c>
      <c r="CB3" s="2">
        <f>BE3</f>
        <v>91</v>
      </c>
      <c r="CC3" s="2">
        <f>BF3</f>
        <v>160</v>
      </c>
      <c r="CD3" s="2">
        <f>BH3</f>
        <v>87</v>
      </c>
      <c r="CE3" s="2">
        <f t="shared" ref="CE3:CL3" si="5">BI3</f>
        <v>299</v>
      </c>
      <c r="CF3" s="2">
        <f t="shared" si="5"/>
        <v>303</v>
      </c>
      <c r="CG3" s="2">
        <f t="shared" si="5"/>
        <v>322</v>
      </c>
      <c r="CH3" s="2">
        <f t="shared" si="5"/>
        <v>479</v>
      </c>
      <c r="CI3" s="2">
        <f t="shared" si="5"/>
        <v>352</v>
      </c>
      <c r="CJ3" s="2">
        <f t="shared" si="5"/>
        <v>454</v>
      </c>
      <c r="CK3" s="2">
        <f t="shared" si="5"/>
        <v>208</v>
      </c>
      <c r="CL3" s="2">
        <f t="shared" si="5"/>
        <v>97</v>
      </c>
      <c r="CM3" s="2">
        <f>BG3</f>
        <v>-27</v>
      </c>
      <c r="CO3" s="2" t="str">
        <f>B3</f>
        <v>Djokovic</v>
      </c>
      <c r="CP3" s="4">
        <f>BZ3+$DG3</f>
        <v>13.227882755363579</v>
      </c>
      <c r="CQ3" s="4">
        <f t="shared" si="4"/>
        <v>297.22788275536357</v>
      </c>
      <c r="CR3" s="4">
        <f t="shared" si="4"/>
        <v>83.227882755363581</v>
      </c>
      <c r="CS3" s="4">
        <f t="shared" si="4"/>
        <v>152.22788275536357</v>
      </c>
      <c r="CT3" s="4">
        <f t="shared" si="4"/>
        <v>79.227882755363581</v>
      </c>
      <c r="CU3" s="4">
        <f>CD3+$DG3</f>
        <v>79.227882755363581</v>
      </c>
      <c r="CV3" s="4">
        <f t="shared" si="4"/>
        <v>295.22788275536357</v>
      </c>
      <c r="CW3" s="4">
        <f t="shared" si="4"/>
        <v>314.22788275536357</v>
      </c>
      <c r="CX3" s="4">
        <f t="shared" si="4"/>
        <v>471.22788275536357</v>
      </c>
      <c r="CY3" s="4">
        <f t="shared" si="4"/>
        <v>344.22788275536357</v>
      </c>
      <c r="CZ3" s="4">
        <f t="shared" si="4"/>
        <v>446.22788275536357</v>
      </c>
      <c r="DA3" s="4">
        <f t="shared" si="4"/>
        <v>200.22788275536357</v>
      </c>
      <c r="DB3" s="4">
        <f t="shared" si="4"/>
        <v>89.227882755363581</v>
      </c>
      <c r="DC3" s="4"/>
      <c r="DD3" s="4"/>
      <c r="DE3" s="2">
        <f>VLOOKUP(B3,[1]Ranking!$C$3:$BM$19, 34, FALSE)</f>
        <v>54</v>
      </c>
      <c r="DF3" s="4">
        <f>VLOOKUP(B3,[1]Ranking!$C$3:$BM$19, 63, FALSE)</f>
        <v>-419.69433121036673</v>
      </c>
      <c r="DG3" s="4">
        <f>DF3/DE3</f>
        <v>-7.7721172446364211</v>
      </c>
    </row>
    <row r="4" spans="1:111" x14ac:dyDescent="0.3">
      <c r="A4" s="2">
        <v>3</v>
      </c>
      <c r="B4" s="2" t="str">
        <f>VLOOKUP(A4,[1]Ranking!$X$3:$AA$19, 4, FALSE)</f>
        <v>Federer</v>
      </c>
      <c r="C4" s="2" t="s">
        <v>7</v>
      </c>
      <c r="G4" s="2">
        <f>VLOOKUP($C4,[1]Data!$C$3:$Z$86,G$1, FALSE)</f>
        <v>-3</v>
      </c>
      <c r="H4" s="2">
        <f>VLOOKUP($C4,[1]Data!$C$3:$Z$86,H$1, FALSE)</f>
        <v>23</v>
      </c>
      <c r="I4" s="2">
        <f>VLOOKUP($C4,[1]Data!$C$3:$Z$86,I$1, FALSE)</f>
        <v>51</v>
      </c>
      <c r="J4" s="2">
        <f>VLOOKUP($C4,[1]Data!$C$3:$Z$86,J$1, FALSE)</f>
        <v>-45</v>
      </c>
      <c r="K4" s="2">
        <f>VLOOKUP($C4,[1]Data!$C$3:$Z$86,K$1, FALSE)</f>
        <v>-88</v>
      </c>
      <c r="L4" s="2">
        <f>VLOOKUP($C4,[1]Data!$C$3:$Z$86,L$1, FALSE)</f>
        <v>39</v>
      </c>
      <c r="M4" s="2">
        <f>VLOOKUP($C4,[1]Data!$C$3:$Z$86,M$1, FALSE)</f>
        <v>212</v>
      </c>
      <c r="N4" s="2">
        <f>VLOOKUP($C4,[1]Data!$C$3:$Z$86,N$1, FALSE)</f>
        <v>363</v>
      </c>
      <c r="O4" s="2">
        <f>VLOOKUP($C4,[1]Data!$C$3:$Z$86,O$1, FALSE)</f>
        <v>378</v>
      </c>
      <c r="P4" s="2">
        <f>VLOOKUP($C4,[1]Data!$C$3:$Z$86,P$1, FALSE)</f>
        <v>344</v>
      </c>
      <c r="Q4" s="2">
        <f>VLOOKUP($C4,[1]Data!$C$3:$Z$86,Q$1, FALSE)</f>
        <v>473</v>
      </c>
      <c r="R4" s="2">
        <f>VLOOKUP($C4,[1]Data!$C$3:$Z$86,R$1, FALSE)</f>
        <v>149</v>
      </c>
      <c r="S4" s="2">
        <f>VLOOKUP($C4,[1]Data!$C$3:$Z$86,S$1, FALSE)</f>
        <v>434</v>
      </c>
      <c r="T4" s="2">
        <f>VLOOKUP($C4,[1]Data!$C$3:$Z$86,T$1, FALSE)</f>
        <v>152</v>
      </c>
      <c r="U4" s="2">
        <f>VLOOKUP($C4,[1]Data!$C$3:$Z$86,U$1, FALSE)</f>
        <v>161</v>
      </c>
      <c r="V4" s="2">
        <f>VLOOKUP($C4,[1]Data!$C$3:$Z$86,V$1, FALSE)</f>
        <v>65</v>
      </c>
      <c r="W4" s="2">
        <f>VLOOKUP($C4,[1]Data!$C$3:$Z$86,W$1, FALSE)</f>
        <v>145</v>
      </c>
      <c r="X4" s="2">
        <f>VLOOKUP($C4,[1]Data!$C$3:$Z$86,X$1, FALSE)</f>
        <v>0</v>
      </c>
      <c r="Y4" s="2">
        <f>VLOOKUP($C4,[1]Data!$C$3:$Z$86,Y$1, FALSE)</f>
        <v>0</v>
      </c>
      <c r="Z4" s="2">
        <f>VLOOKUP($C4,[1]Data!$C$3:$Z$86,Z$1, FALSE)</f>
        <v>0</v>
      </c>
      <c r="AA4" s="2">
        <f>VLOOKUP($C4,[1]Data!$C$3:$Z$86,AA$1, FALSE)</f>
        <v>0</v>
      </c>
      <c r="AB4" s="2">
        <f>VLOOKUP($C4,[1]Data!$C$3:$Z$86,AB$1, FALSE)</f>
        <v>0</v>
      </c>
      <c r="AC4" s="2">
        <f>VLOOKUP($C4,[1]Data!$C$3:$Z$86,AC$1, FALSE)</f>
        <v>0</v>
      </c>
      <c r="AE4" s="2">
        <f t="shared" si="0"/>
        <v>21</v>
      </c>
      <c r="AF4" s="2">
        <f t="shared" si="0"/>
        <v>14</v>
      </c>
      <c r="AG4" s="2">
        <f t="shared" si="0"/>
        <v>12</v>
      </c>
      <c r="AH4" s="2">
        <f t="shared" si="0"/>
        <v>22</v>
      </c>
      <c r="AI4" s="2">
        <f t="shared" si="0"/>
        <v>23</v>
      </c>
      <c r="AJ4" s="2">
        <f t="shared" si="0"/>
        <v>13</v>
      </c>
      <c r="AK4" s="2">
        <f t="shared" si="0"/>
        <v>6</v>
      </c>
      <c r="AL4" s="2">
        <f t="shared" si="0"/>
        <v>4</v>
      </c>
      <c r="AM4" s="2">
        <f t="shared" si="0"/>
        <v>3</v>
      </c>
      <c r="AN4" s="2">
        <f t="shared" si="0"/>
        <v>5</v>
      </c>
      <c r="AO4" s="2">
        <f t="shared" si="1"/>
        <v>1</v>
      </c>
      <c r="AP4" s="2">
        <f t="shared" si="1"/>
        <v>9</v>
      </c>
      <c r="AQ4" s="2">
        <f t="shared" si="1"/>
        <v>2</v>
      </c>
      <c r="AR4" s="2">
        <f t="shared" si="1"/>
        <v>8</v>
      </c>
      <c r="AS4" s="2">
        <f t="shared" si="1"/>
        <v>7</v>
      </c>
      <c r="AT4" s="2">
        <f t="shared" si="1"/>
        <v>11</v>
      </c>
      <c r="AU4" s="2">
        <f t="shared" si="1"/>
        <v>10</v>
      </c>
      <c r="AV4" s="2">
        <f t="shared" si="1"/>
        <v>15</v>
      </c>
      <c r="AW4" s="2">
        <f t="shared" si="1"/>
        <v>15</v>
      </c>
      <c r="AX4" s="2">
        <f t="shared" si="1"/>
        <v>15</v>
      </c>
      <c r="AY4" s="2">
        <f t="shared" si="1"/>
        <v>15</v>
      </c>
      <c r="AZ4" s="2">
        <f t="shared" si="1"/>
        <v>15</v>
      </c>
      <c r="BA4" s="2">
        <f t="shared" si="1"/>
        <v>15</v>
      </c>
      <c r="BC4" s="2">
        <v>-3</v>
      </c>
      <c r="BD4" s="2">
        <f t="shared" si="2"/>
        <v>23</v>
      </c>
      <c r="BE4" s="2">
        <f t="shared" si="2"/>
        <v>51</v>
      </c>
      <c r="BH4" s="2">
        <f t="shared" si="2"/>
        <v>39</v>
      </c>
      <c r="BI4" s="2">
        <f t="shared" si="2"/>
        <v>212</v>
      </c>
      <c r="BJ4" s="2">
        <f t="shared" si="2"/>
        <v>363</v>
      </c>
      <c r="BK4" s="2">
        <f t="shared" si="2"/>
        <v>378</v>
      </c>
      <c r="BL4" s="2">
        <f t="shared" si="2"/>
        <v>344</v>
      </c>
      <c r="BM4" s="2">
        <f t="shared" si="2"/>
        <v>473</v>
      </c>
      <c r="BN4" s="2">
        <f t="shared" si="2"/>
        <v>149</v>
      </c>
      <c r="BO4" s="2">
        <f t="shared" si="2"/>
        <v>434</v>
      </c>
      <c r="BP4" s="2">
        <f t="shared" si="2"/>
        <v>152</v>
      </c>
      <c r="BQ4" s="2">
        <f t="shared" si="2"/>
        <v>161</v>
      </c>
      <c r="BR4" s="2">
        <f t="shared" si="2"/>
        <v>65</v>
      </c>
      <c r="BS4" s="2">
        <f t="shared" si="2"/>
        <v>145</v>
      </c>
      <c r="BT4" s="2" t="str">
        <f t="shared" si="2"/>
        <v/>
      </c>
      <c r="BU4" s="2" t="str">
        <f t="shared" si="2"/>
        <v/>
      </c>
      <c r="BV4" s="2" t="str">
        <f t="shared" si="2"/>
        <v/>
      </c>
      <c r="BZ4" s="2">
        <f>BD4</f>
        <v>23</v>
      </c>
      <c r="CA4" s="2">
        <f>BE4</f>
        <v>51</v>
      </c>
      <c r="CB4" s="2">
        <f>BH4</f>
        <v>39</v>
      </c>
      <c r="CC4" s="2">
        <f>BI4</f>
        <v>212</v>
      </c>
      <c r="CD4" s="2">
        <f>BJ4</f>
        <v>363</v>
      </c>
      <c r="CE4" s="2">
        <f t="shared" ref="CE4:CM4" si="6">BK4</f>
        <v>378</v>
      </c>
      <c r="CF4" s="2">
        <f t="shared" si="6"/>
        <v>344</v>
      </c>
      <c r="CG4" s="2">
        <f t="shared" si="6"/>
        <v>473</v>
      </c>
      <c r="CH4" s="2">
        <f t="shared" si="6"/>
        <v>149</v>
      </c>
      <c r="CI4" s="2">
        <f t="shared" si="6"/>
        <v>434</v>
      </c>
      <c r="CJ4" s="2">
        <f t="shared" si="6"/>
        <v>152</v>
      </c>
      <c r="CK4" s="2">
        <f t="shared" si="6"/>
        <v>161</v>
      </c>
      <c r="CL4" s="2">
        <f t="shared" si="6"/>
        <v>65</v>
      </c>
      <c r="CM4" s="2">
        <f t="shared" si="6"/>
        <v>145</v>
      </c>
      <c r="CN4" s="2">
        <f>BC4</f>
        <v>-3</v>
      </c>
      <c r="CO4" s="2" t="str">
        <f>B4</f>
        <v>Federer</v>
      </c>
      <c r="CP4" s="4">
        <f>BZ4+$DG4</f>
        <v>17.302878390064979</v>
      </c>
      <c r="CQ4" s="4">
        <f t="shared" si="4"/>
        <v>45.302878390064983</v>
      </c>
      <c r="CR4" s="4">
        <f t="shared" si="4"/>
        <v>33.302878390064983</v>
      </c>
      <c r="CS4" s="4">
        <f t="shared" si="4"/>
        <v>206.30287839006499</v>
      </c>
      <c r="CT4" s="4">
        <f>CB4+$DG4</f>
        <v>33.302878390064983</v>
      </c>
      <c r="CU4" s="4">
        <f t="shared" si="4"/>
        <v>372.30287839006496</v>
      </c>
      <c r="CV4" s="4">
        <f t="shared" si="4"/>
        <v>338.30287839006496</v>
      </c>
      <c r="CW4" s="4">
        <f t="shared" si="4"/>
        <v>467.30287839006496</v>
      </c>
      <c r="CX4" s="4">
        <f t="shared" si="4"/>
        <v>143.30287839006499</v>
      </c>
      <c r="CY4" s="4">
        <f t="shared" si="4"/>
        <v>428.30287839006496</v>
      </c>
      <c r="CZ4" s="4">
        <f t="shared" si="4"/>
        <v>146.30287839006499</v>
      </c>
      <c r="DA4" s="4">
        <f t="shared" si="4"/>
        <v>155.30287839006499</v>
      </c>
      <c r="DB4" s="4">
        <f t="shared" si="4"/>
        <v>59.302878390064983</v>
      </c>
      <c r="DC4" s="4">
        <f t="shared" si="4"/>
        <v>139.30287839006499</v>
      </c>
      <c r="DD4" s="4">
        <f t="shared" si="4"/>
        <v>-8.6971216099350208</v>
      </c>
      <c r="DE4" s="2">
        <f>VLOOKUP(B4,[1]Ranking!$C$3:$BM$19, 34, FALSE)</f>
        <v>73</v>
      </c>
      <c r="DF4" s="4">
        <f>VLOOKUP(B4,[1]Ranking!$C$3:$BM$19, 63, FALSE)</f>
        <v>-415.88987752525645</v>
      </c>
      <c r="DG4" s="4">
        <f>DF4/DE4</f>
        <v>-5.6971216099350199</v>
      </c>
    </row>
    <row r="5" spans="1:111" x14ac:dyDescent="0.3">
      <c r="A5" s="2">
        <v>4</v>
      </c>
      <c r="B5" s="2" t="str">
        <f>VLOOKUP(A5,[1]Ranking!$X$3:$AA$19, 4, FALSE)</f>
        <v>Borg</v>
      </c>
      <c r="C5" s="2" t="s">
        <v>8</v>
      </c>
      <c r="G5" s="2">
        <f>VLOOKUP($C5,[1]Data!$C$3:$Z$86,G$1, FALSE)</f>
        <v>171</v>
      </c>
      <c r="H5" s="2">
        <f>VLOOKUP($C5,[1]Data!$C$3:$Z$86,H$1, FALSE)</f>
        <v>349</v>
      </c>
      <c r="I5" s="2">
        <f>VLOOKUP($C5,[1]Data!$C$3:$Z$86,I$1, FALSE)</f>
        <v>428</v>
      </c>
      <c r="J5" s="2">
        <f>VLOOKUP($C5,[1]Data!$C$3:$Z$86,J$1, FALSE)</f>
        <v>134</v>
      </c>
      <c r="K5" s="2">
        <f>VLOOKUP($C5,[1]Data!$C$3:$Z$86,K$1, FALSE)</f>
        <v>0</v>
      </c>
      <c r="L5" s="2">
        <f>VLOOKUP($C5,[1]Data!$C$3:$Z$86,L$1, FALSE)</f>
        <v>484</v>
      </c>
      <c r="M5" s="2">
        <f>VLOOKUP($C5,[1]Data!$C$3:$Z$86,M$1, FALSE)</f>
        <v>314</v>
      </c>
      <c r="N5" s="2">
        <f>VLOOKUP($C5,[1]Data!$C$3:$Z$86,N$1, FALSE)</f>
        <v>469</v>
      </c>
      <c r="O5" s="2">
        <f>VLOOKUP($C5,[1]Data!$C$3:$Z$86,O$1, FALSE)</f>
        <v>351</v>
      </c>
      <c r="P5" s="2">
        <f>VLOOKUP($C5,[1]Data!$C$3:$Z$86,P$1, FALSE)</f>
        <v>0</v>
      </c>
      <c r="Q5" s="2">
        <f>VLOOKUP($C5,[1]Data!$C$3:$Z$86,Q$1, FALSE)</f>
        <v>0</v>
      </c>
      <c r="R5" s="2">
        <f>VLOOKUP($C5,[1]Data!$C$3:$Z$86,R$1, FALSE)</f>
        <v>0</v>
      </c>
      <c r="S5" s="2">
        <f>VLOOKUP($C5,[1]Data!$C$3:$Z$86,S$1, FALSE)</f>
        <v>0</v>
      </c>
      <c r="T5" s="2">
        <f>VLOOKUP($C5,[1]Data!$C$3:$Z$86,T$1, FALSE)</f>
        <v>0</v>
      </c>
      <c r="U5" s="2">
        <f>VLOOKUP($C5,[1]Data!$C$3:$Z$86,U$1, FALSE)</f>
        <v>0</v>
      </c>
      <c r="V5" s="2">
        <f>VLOOKUP($C5,[1]Data!$C$3:$Z$86,V$1, FALSE)</f>
        <v>0</v>
      </c>
      <c r="W5" s="2">
        <f>VLOOKUP($C5,[1]Data!$C$3:$Z$86,W$1, FALSE)</f>
        <v>0</v>
      </c>
      <c r="X5" s="2">
        <f>VLOOKUP($C5,[1]Data!$C$3:$Z$86,X$1, FALSE)</f>
        <v>0</v>
      </c>
      <c r="Y5" s="2">
        <f>VLOOKUP($C5,[1]Data!$C$3:$Z$86,Y$1, FALSE)</f>
        <v>0</v>
      </c>
      <c r="Z5" s="2">
        <f>VLOOKUP($C5,[1]Data!$C$3:$Z$86,Z$1, FALSE)</f>
        <v>0</v>
      </c>
      <c r="AA5" s="2">
        <f>VLOOKUP($C5,[1]Data!$C$3:$Z$86,AA$1, FALSE)</f>
        <v>0</v>
      </c>
      <c r="AB5" s="2">
        <f>VLOOKUP($C5,[1]Data!$C$3:$Z$86,AB$1, FALSE)</f>
        <v>0</v>
      </c>
      <c r="AC5" s="2">
        <f>VLOOKUP($C5,[1]Data!$C$3:$Z$86,AC$1, FALSE)</f>
        <v>0</v>
      </c>
      <c r="AE5" s="2">
        <f t="shared" si="0"/>
        <v>7</v>
      </c>
      <c r="AF5" s="2">
        <f t="shared" si="0"/>
        <v>5</v>
      </c>
      <c r="AG5" s="2">
        <f t="shared" si="0"/>
        <v>3</v>
      </c>
      <c r="AH5" s="2">
        <f t="shared" si="0"/>
        <v>8</v>
      </c>
      <c r="AI5" s="2">
        <f t="shared" si="0"/>
        <v>9</v>
      </c>
      <c r="AJ5" s="2">
        <f t="shared" si="0"/>
        <v>1</v>
      </c>
      <c r="AK5" s="2">
        <f t="shared" si="0"/>
        <v>6</v>
      </c>
      <c r="AL5" s="2">
        <f t="shared" si="0"/>
        <v>2</v>
      </c>
      <c r="AM5" s="2">
        <f t="shared" si="0"/>
        <v>4</v>
      </c>
      <c r="AN5" s="2">
        <f t="shared" si="0"/>
        <v>9</v>
      </c>
      <c r="AO5" s="2">
        <f t="shared" si="1"/>
        <v>9</v>
      </c>
      <c r="AP5" s="2">
        <f t="shared" si="1"/>
        <v>9</v>
      </c>
      <c r="AQ5" s="2">
        <f t="shared" si="1"/>
        <v>9</v>
      </c>
      <c r="AR5" s="2">
        <f t="shared" si="1"/>
        <v>9</v>
      </c>
      <c r="AS5" s="2">
        <f t="shared" si="1"/>
        <v>9</v>
      </c>
      <c r="AT5" s="2">
        <f t="shared" si="1"/>
        <v>9</v>
      </c>
      <c r="AU5" s="2">
        <f t="shared" si="1"/>
        <v>9</v>
      </c>
      <c r="AV5" s="2">
        <f t="shared" si="1"/>
        <v>9</v>
      </c>
      <c r="AW5" s="2">
        <f t="shared" si="1"/>
        <v>9</v>
      </c>
      <c r="AX5" s="2">
        <f t="shared" si="1"/>
        <v>9</v>
      </c>
      <c r="AY5" s="2">
        <f t="shared" si="1"/>
        <v>9</v>
      </c>
      <c r="AZ5" s="2">
        <f t="shared" si="1"/>
        <v>9</v>
      </c>
      <c r="BA5" s="2">
        <f t="shared" si="1"/>
        <v>9</v>
      </c>
      <c r="BC5" s="2">
        <f t="shared" si="2"/>
        <v>171</v>
      </c>
      <c r="BD5" s="2">
        <f t="shared" si="2"/>
        <v>349</v>
      </c>
      <c r="BE5" s="2">
        <f t="shared" si="2"/>
        <v>428</v>
      </c>
      <c r="BF5" s="2">
        <f t="shared" si="2"/>
        <v>134</v>
      </c>
      <c r="BG5" s="2" t="str">
        <f t="shared" si="2"/>
        <v/>
      </c>
      <c r="BH5" s="2">
        <f t="shared" si="2"/>
        <v>484</v>
      </c>
      <c r="BI5" s="2">
        <f t="shared" si="2"/>
        <v>314</v>
      </c>
      <c r="BJ5" s="2">
        <f t="shared" si="2"/>
        <v>469</v>
      </c>
      <c r="BK5" s="2">
        <f t="shared" si="2"/>
        <v>351</v>
      </c>
      <c r="BL5" s="2" t="str">
        <f t="shared" si="2"/>
        <v/>
      </c>
      <c r="BM5" s="2" t="str">
        <f t="shared" si="2"/>
        <v/>
      </c>
      <c r="BN5" s="2" t="str">
        <f t="shared" si="2"/>
        <v/>
      </c>
      <c r="BO5" s="2" t="str">
        <f t="shared" si="2"/>
        <v/>
      </c>
      <c r="BP5" s="2" t="str">
        <f t="shared" si="2"/>
        <v/>
      </c>
      <c r="BQ5" s="2" t="str">
        <f t="shared" si="2"/>
        <v/>
      </c>
      <c r="BR5" s="2" t="str">
        <f t="shared" si="2"/>
        <v/>
      </c>
      <c r="BS5" s="2" t="str">
        <f t="shared" si="2"/>
        <v/>
      </c>
      <c r="BT5" s="2" t="str">
        <f t="shared" si="2"/>
        <v/>
      </c>
      <c r="BU5" s="2" t="str">
        <f t="shared" si="2"/>
        <v/>
      </c>
      <c r="BV5" s="2" t="str">
        <f t="shared" si="2"/>
        <v/>
      </c>
      <c r="BZ5" s="2">
        <f>BC5</f>
        <v>171</v>
      </c>
      <c r="CA5" s="2">
        <f>BD5</f>
        <v>349</v>
      </c>
      <c r="CB5" s="2">
        <f>BE5</f>
        <v>428</v>
      </c>
      <c r="CC5" s="2">
        <f>BF5</f>
        <v>134</v>
      </c>
      <c r="CD5" s="2">
        <f>BH5</f>
        <v>484</v>
      </c>
      <c r="CE5" s="2">
        <f>BI5</f>
        <v>314</v>
      </c>
      <c r="CF5" s="2">
        <f>BJ5</f>
        <v>469</v>
      </c>
      <c r="CG5" s="2">
        <f>BK5</f>
        <v>351</v>
      </c>
      <c r="CH5" s="2">
        <v>0</v>
      </c>
      <c r="CI5" s="2">
        <v>0</v>
      </c>
      <c r="CO5" s="2" t="str">
        <f>B5</f>
        <v>Borg</v>
      </c>
      <c r="CP5" s="4">
        <f>BZ5+$DG5</f>
        <v>182.16221792201389</v>
      </c>
      <c r="CQ5" s="4">
        <f t="shared" si="4"/>
        <v>360.16221792201389</v>
      </c>
      <c r="CR5" s="4">
        <f t="shared" si="4"/>
        <v>439.16221792201389</v>
      </c>
      <c r="CS5" s="4">
        <f t="shared" si="4"/>
        <v>145.16221792201389</v>
      </c>
      <c r="CT5" s="4">
        <f>CD5+$DG5</f>
        <v>495.16221792201389</v>
      </c>
      <c r="CU5" s="4">
        <f>CD5+$DG5</f>
        <v>495.16221792201389</v>
      </c>
      <c r="CV5" s="4">
        <f t="shared" si="4"/>
        <v>480.16221792201389</v>
      </c>
      <c r="CW5" s="4">
        <f t="shared" si="4"/>
        <v>362.16221792201389</v>
      </c>
      <c r="CX5" s="4">
        <f t="shared" si="4"/>
        <v>11.162217922013884</v>
      </c>
      <c r="CY5" s="4">
        <f t="shared" si="4"/>
        <v>11.162217922013884</v>
      </c>
      <c r="CZ5" s="4"/>
      <c r="DA5" s="4"/>
      <c r="DB5" s="4"/>
      <c r="DC5" s="4"/>
      <c r="DD5" s="4"/>
      <c r="DE5" s="2">
        <f>VLOOKUP(B5,[1]Ranking!$C$3:$BM$19, 34, FALSE)</f>
        <v>27</v>
      </c>
      <c r="DF5" s="4">
        <f>VLOOKUP(B5,[1]Ranking!$C$3:$BM$19, 63, FALSE)</f>
        <v>301.37988389437487</v>
      </c>
      <c r="DG5" s="4">
        <f>DF5/DE5</f>
        <v>11.162217922013884</v>
      </c>
    </row>
    <row r="6" spans="1:111" x14ac:dyDescent="0.3">
      <c r="A6" s="13" t="s">
        <v>1</v>
      </c>
      <c r="B6" s="13"/>
    </row>
    <row r="7" spans="1:111" x14ac:dyDescent="0.3">
      <c r="A7" s="2">
        <v>5</v>
      </c>
      <c r="B7" s="2" t="str">
        <f>VLOOKUP(A7,[1]Ranking!$X$3:$AA$19, 4, FALSE)</f>
        <v>Lendl</v>
      </c>
      <c r="C7" s="2" t="s">
        <v>9</v>
      </c>
      <c r="D7" s="3">
        <f t="shared" ref="D7:D18" ca="1" si="7">RAND()</f>
        <v>0.22855128993139151</v>
      </c>
      <c r="E7" s="2">
        <f t="shared" ref="E7:E18" ca="1" si="8">RANK(D7,$D$7:$D$18)</f>
        <v>12</v>
      </c>
      <c r="F7" s="2" t="str">
        <f>B7</f>
        <v>Lendl</v>
      </c>
      <c r="G7" s="2">
        <f>VLOOKUP($C7,[1]Data!$C$3:$Z$86,G$1, FALSE)</f>
        <v>-99</v>
      </c>
      <c r="H7" s="2">
        <f>VLOOKUP($C7,[1]Data!$C$3:$Z$86,H$1, FALSE)</f>
        <v>125</v>
      </c>
      <c r="I7" s="2">
        <f>VLOOKUP($C7,[1]Data!$C$3:$Z$86,I$1, FALSE)</f>
        <v>23</v>
      </c>
      <c r="J7" s="2">
        <f>VLOOKUP($C7,[1]Data!$C$3:$Z$86,J$1, FALSE)</f>
        <v>419</v>
      </c>
      <c r="K7" s="2">
        <f>VLOOKUP($C7,[1]Data!$C$3:$Z$86,K$1, FALSE)</f>
        <v>38</v>
      </c>
      <c r="L7" s="2">
        <f>VLOOKUP($C7,[1]Data!$C$3:$Z$86,L$1, FALSE)</f>
        <v>138</v>
      </c>
      <c r="M7" s="2">
        <f>VLOOKUP($C7,[1]Data!$C$3:$Z$86,M$1, FALSE)</f>
        <v>514</v>
      </c>
      <c r="N7" s="2">
        <f>VLOOKUP($C7,[1]Data!$C$3:$Z$86,N$1, FALSE)</f>
        <v>334</v>
      </c>
      <c r="O7" s="2">
        <f>VLOOKUP($C7,[1]Data!$C$3:$Z$86,O$1, FALSE)</f>
        <v>398</v>
      </c>
      <c r="P7" s="2">
        <f>VLOOKUP($C7,[1]Data!$C$3:$Z$86,P$1, FALSE)</f>
        <v>543</v>
      </c>
      <c r="Q7" s="2">
        <f>VLOOKUP($C7,[1]Data!$C$3:$Z$86,Q$1, FALSE)</f>
        <v>117</v>
      </c>
      <c r="R7" s="2">
        <f>VLOOKUP($C7,[1]Data!$C$3:$Z$86,R$1, FALSE)</f>
        <v>166</v>
      </c>
      <c r="S7" s="2">
        <f>VLOOKUP($C7,[1]Data!$C$3:$Z$86,S$1, FALSE)</f>
        <v>0</v>
      </c>
      <c r="T7" s="2">
        <f>VLOOKUP($C7,[1]Data!$C$3:$Z$86,T$1, FALSE)</f>
        <v>0</v>
      </c>
      <c r="U7" s="2">
        <f>VLOOKUP($C7,[1]Data!$C$3:$Z$86,U$1, FALSE)</f>
        <v>7</v>
      </c>
      <c r="V7" s="2">
        <f>VLOOKUP($C7,[1]Data!$C$3:$Z$86,V$1, FALSE)</f>
        <v>-99</v>
      </c>
      <c r="W7" s="2">
        <f>VLOOKUP($C7,[1]Data!$C$3:$Z$86,W$1, FALSE)</f>
        <v>-17</v>
      </c>
      <c r="X7" s="2">
        <f>VLOOKUP($C7,[1]Data!$C$3:$Z$86,X$1, FALSE)</f>
        <v>0</v>
      </c>
      <c r="Y7" s="2">
        <f>VLOOKUP($C7,[1]Data!$C$3:$Z$86,Y$1, FALSE)</f>
        <v>0</v>
      </c>
      <c r="Z7" s="2">
        <f>VLOOKUP($C7,[1]Data!$C$3:$Z$86,Z$1, FALSE)</f>
        <v>0</v>
      </c>
      <c r="AA7" s="2">
        <f>VLOOKUP($C7,[1]Data!$C$3:$Z$86,AA$1, FALSE)</f>
        <v>0</v>
      </c>
      <c r="AB7" s="2">
        <f>VLOOKUP($C7,[1]Data!$C$3:$Z$86,AB$1, FALSE)</f>
        <v>0</v>
      </c>
      <c r="AC7" s="2">
        <f>VLOOKUP($C7,[1]Data!$C$3:$Z$86,AC$1, FALSE)</f>
        <v>0</v>
      </c>
      <c r="AE7" s="2">
        <f t="shared" ref="AE7:AT18" si="9">RANK(G7,$G7:$AC7)</f>
        <v>22</v>
      </c>
      <c r="AF7" s="2">
        <f t="shared" si="9"/>
        <v>8</v>
      </c>
      <c r="AG7" s="2">
        <f t="shared" si="9"/>
        <v>11</v>
      </c>
      <c r="AH7" s="2">
        <f t="shared" si="9"/>
        <v>3</v>
      </c>
      <c r="AI7" s="2">
        <f t="shared" si="9"/>
        <v>10</v>
      </c>
      <c r="AJ7" s="2">
        <f t="shared" si="9"/>
        <v>7</v>
      </c>
      <c r="AK7" s="2">
        <f t="shared" si="9"/>
        <v>2</v>
      </c>
      <c r="AL7" s="2">
        <f t="shared" si="9"/>
        <v>5</v>
      </c>
      <c r="AM7" s="2">
        <f t="shared" si="9"/>
        <v>4</v>
      </c>
      <c r="AN7" s="2">
        <f t="shared" si="9"/>
        <v>1</v>
      </c>
      <c r="AO7" s="2">
        <f t="shared" si="9"/>
        <v>9</v>
      </c>
      <c r="AP7" s="2">
        <f t="shared" si="9"/>
        <v>6</v>
      </c>
      <c r="AQ7" s="2">
        <f t="shared" si="9"/>
        <v>13</v>
      </c>
      <c r="AR7" s="2">
        <f t="shared" si="9"/>
        <v>13</v>
      </c>
      <c r="AS7" s="2">
        <f t="shared" si="9"/>
        <v>12</v>
      </c>
      <c r="AT7" s="2">
        <f t="shared" si="9"/>
        <v>22</v>
      </c>
      <c r="AU7" s="2">
        <f t="shared" ref="AU7:BA18" si="10">RANK(W7,$G7:$AC7)</f>
        <v>21</v>
      </c>
      <c r="AV7" s="2">
        <f t="shared" si="10"/>
        <v>13</v>
      </c>
      <c r="AW7" s="2">
        <f t="shared" si="10"/>
        <v>13</v>
      </c>
      <c r="AX7" s="2">
        <f t="shared" si="10"/>
        <v>13</v>
      </c>
      <c r="AY7" s="2">
        <f t="shared" si="10"/>
        <v>13</v>
      </c>
      <c r="AZ7" s="2">
        <f t="shared" si="10"/>
        <v>13</v>
      </c>
      <c r="BA7" s="2">
        <f t="shared" si="10"/>
        <v>13</v>
      </c>
      <c r="BC7" s="2">
        <v>-99</v>
      </c>
      <c r="BD7" s="2">
        <f t="shared" ref="BC7:BR18" si="11">IF(AF7&gt;15, "", IF(H7=0, "", H7))</f>
        <v>125</v>
      </c>
      <c r="BE7" s="2">
        <f t="shared" si="11"/>
        <v>23</v>
      </c>
      <c r="BF7" s="2">
        <f t="shared" si="11"/>
        <v>419</v>
      </c>
      <c r="BG7" s="2">
        <f t="shared" si="11"/>
        <v>38</v>
      </c>
      <c r="BH7" s="2">
        <f t="shared" si="11"/>
        <v>138</v>
      </c>
      <c r="BI7" s="2">
        <f t="shared" si="11"/>
        <v>514</v>
      </c>
      <c r="BJ7" s="2">
        <f t="shared" si="11"/>
        <v>334</v>
      </c>
      <c r="BK7" s="2">
        <f t="shared" si="11"/>
        <v>398</v>
      </c>
      <c r="BL7" s="2">
        <f t="shared" si="11"/>
        <v>543</v>
      </c>
      <c r="BM7" s="2">
        <f t="shared" si="11"/>
        <v>117</v>
      </c>
      <c r="BN7" s="2">
        <f t="shared" si="11"/>
        <v>166</v>
      </c>
      <c r="BO7" s="2" t="str">
        <f t="shared" si="11"/>
        <v/>
      </c>
      <c r="BP7" s="2" t="str">
        <f t="shared" si="11"/>
        <v/>
      </c>
      <c r="BQ7" s="2">
        <f t="shared" si="11"/>
        <v>7</v>
      </c>
      <c r="BR7" s="2">
        <v>-99</v>
      </c>
      <c r="BS7" s="2">
        <v>-17</v>
      </c>
      <c r="BT7" s="2" t="str">
        <f t="shared" ref="BS7:BX18" si="12">IF(AV7&gt;15, "", IF(X7=0, "", X7))</f>
        <v/>
      </c>
      <c r="BU7" s="2" t="str">
        <f t="shared" si="12"/>
        <v/>
      </c>
      <c r="BV7" s="2" t="str">
        <f t="shared" si="12"/>
        <v/>
      </c>
      <c r="BZ7" s="2">
        <f t="shared" ref="BZ7:CJ7" si="13">BD7</f>
        <v>125</v>
      </c>
      <c r="CA7" s="2">
        <f t="shared" si="13"/>
        <v>23</v>
      </c>
      <c r="CB7" s="2">
        <f t="shared" si="13"/>
        <v>419</v>
      </c>
      <c r="CC7" s="2">
        <f t="shared" si="13"/>
        <v>38</v>
      </c>
      <c r="CD7" s="2">
        <f t="shared" si="13"/>
        <v>138</v>
      </c>
      <c r="CE7" s="2">
        <f t="shared" si="13"/>
        <v>514</v>
      </c>
      <c r="CF7" s="2">
        <f t="shared" si="13"/>
        <v>334</v>
      </c>
      <c r="CG7" s="2">
        <f t="shared" si="13"/>
        <v>398</v>
      </c>
      <c r="CH7" s="2">
        <f t="shared" si="13"/>
        <v>543</v>
      </c>
      <c r="CI7" s="2">
        <f t="shared" si="13"/>
        <v>117</v>
      </c>
      <c r="CJ7" s="2">
        <f t="shared" si="13"/>
        <v>166</v>
      </c>
      <c r="CK7" s="2">
        <f>BQ7</f>
        <v>7</v>
      </c>
      <c r="CL7" s="2">
        <f>BC7</f>
        <v>-99</v>
      </c>
      <c r="CM7" s="2">
        <f>BR7</f>
        <v>-99</v>
      </c>
      <c r="CN7" s="2">
        <f>BS7</f>
        <v>-17</v>
      </c>
      <c r="CO7" s="2" t="str">
        <f t="shared" ref="CO7:CO18" si="14">B7</f>
        <v>Lendl</v>
      </c>
      <c r="CP7" s="4">
        <f t="shared" ref="CP7:DD7" si="15">BZ7+$DG7</f>
        <v>136.16221792201389</v>
      </c>
      <c r="CQ7" s="4">
        <f t="shared" si="15"/>
        <v>34.162217922013888</v>
      </c>
      <c r="CR7" s="4">
        <f t="shared" si="15"/>
        <v>430.16221792201389</v>
      </c>
      <c r="CS7" s="4">
        <f t="shared" si="15"/>
        <v>49.162217922013888</v>
      </c>
      <c r="CT7" s="4">
        <f t="shared" si="15"/>
        <v>149.16221792201389</v>
      </c>
      <c r="CU7" s="4">
        <f t="shared" si="15"/>
        <v>525.16221792201384</v>
      </c>
      <c r="CV7" s="4">
        <f t="shared" si="15"/>
        <v>345.16221792201389</v>
      </c>
      <c r="CW7" s="4">
        <f t="shared" si="15"/>
        <v>409.16221792201389</v>
      </c>
      <c r="CX7" s="4">
        <f t="shared" si="15"/>
        <v>554.16221792201384</v>
      </c>
      <c r="CY7" s="4">
        <f t="shared" si="15"/>
        <v>128.16221792201389</v>
      </c>
      <c r="CZ7" s="4">
        <f t="shared" si="15"/>
        <v>177.16221792201389</v>
      </c>
      <c r="DA7" s="4">
        <f t="shared" si="15"/>
        <v>18.162217922013888</v>
      </c>
      <c r="DB7" s="4">
        <f t="shared" si="15"/>
        <v>-87.837782077986105</v>
      </c>
      <c r="DC7" s="4">
        <f t="shared" si="15"/>
        <v>-87.837782077986105</v>
      </c>
      <c r="DD7" s="4">
        <f t="shared" si="15"/>
        <v>-5.8377820779861125</v>
      </c>
      <c r="DE7" s="2">
        <f>VLOOKUP(B7,[1]Ranking!$C$3:$BM$19, 34, FALSE)</f>
        <v>57</v>
      </c>
      <c r="DF7" s="4">
        <f>VLOOKUP(B7,[1]Ranking!$C$3:$BM$19, 63, FALSE)</f>
        <v>636.2464215547916</v>
      </c>
      <c r="DG7" s="4">
        <f t="shared" ref="DG7:DG18" si="16">DF7/DE7</f>
        <v>11.162217922013888</v>
      </c>
    </row>
    <row r="8" spans="1:111" x14ac:dyDescent="0.3">
      <c r="A8" s="2">
        <v>6</v>
      </c>
      <c r="B8" s="2" t="str">
        <f>VLOOKUP(A8,[1]Ranking!$X$3:$AA$19, 4, FALSE)</f>
        <v>Wilander</v>
      </c>
      <c r="C8" s="2" t="s">
        <v>10</v>
      </c>
      <c r="D8" s="3">
        <f t="shared" ca="1" si="7"/>
        <v>0.38237944732474227</v>
      </c>
      <c r="E8" s="2">
        <f t="shared" ca="1" si="8"/>
        <v>9</v>
      </c>
      <c r="F8" s="2" t="str">
        <f t="shared" ref="F8:F18" si="17">B8</f>
        <v>Wilander</v>
      </c>
      <c r="G8" s="2">
        <f>VLOOKUP($C8,[1]Data!$C$3:$Z$86,G$1, FALSE)</f>
        <v>0</v>
      </c>
      <c r="H8" s="2">
        <f>VLOOKUP($C8,[1]Data!$C$3:$Z$86,H$1, FALSE)</f>
        <v>508</v>
      </c>
      <c r="I8" s="2">
        <f>VLOOKUP($C8,[1]Data!$C$3:$Z$86,I$1, FALSE)</f>
        <v>355</v>
      </c>
      <c r="J8" s="2">
        <f>VLOOKUP($C8,[1]Data!$C$3:$Z$86,J$1, FALSE)</f>
        <v>269</v>
      </c>
      <c r="K8" s="2">
        <f>VLOOKUP($C8,[1]Data!$C$3:$Z$86,K$1, FALSE)</f>
        <v>496</v>
      </c>
      <c r="L8" s="2">
        <f>VLOOKUP($C8,[1]Data!$C$3:$Z$86,L$1, FALSE)</f>
        <v>20</v>
      </c>
      <c r="M8" s="2">
        <f>VLOOKUP($C8,[1]Data!$C$3:$Z$86,M$1, FALSE)</f>
        <v>404</v>
      </c>
      <c r="N8" s="2">
        <f>VLOOKUP($C8,[1]Data!$C$3:$Z$86,N$1, FALSE)</f>
        <v>465</v>
      </c>
      <c r="O8" s="2">
        <f>VLOOKUP($C8,[1]Data!$C$3:$Z$86,O$1, FALSE)</f>
        <v>53</v>
      </c>
      <c r="P8" s="2">
        <f>VLOOKUP($C8,[1]Data!$C$3:$Z$86,P$1, FALSE)</f>
        <v>0</v>
      </c>
      <c r="Q8" s="2">
        <f>VLOOKUP($C8,[1]Data!$C$3:$Z$86,Q$1, FALSE)</f>
        <v>-49</v>
      </c>
      <c r="R8" s="2">
        <f>VLOOKUP($C8,[1]Data!$C$3:$Z$86,R$1, FALSE)</f>
        <v>0</v>
      </c>
      <c r="S8" s="2">
        <f>VLOOKUP($C8,[1]Data!$C$3:$Z$86,S$1, FALSE)</f>
        <v>0</v>
      </c>
      <c r="T8" s="2">
        <f>VLOOKUP($C8,[1]Data!$C$3:$Z$86,T$1, FALSE)</f>
        <v>-19</v>
      </c>
      <c r="U8" s="2">
        <f>VLOOKUP($C8,[1]Data!$C$3:$Z$86,U$1, FALSE)</f>
        <v>-5</v>
      </c>
      <c r="V8" s="2">
        <f>VLOOKUP($C8,[1]Data!$C$3:$Z$86,V$1, FALSE)</f>
        <v>-15</v>
      </c>
      <c r="W8" s="2">
        <f>VLOOKUP($C8,[1]Data!$C$3:$Z$86,W$1, FALSE)</f>
        <v>0</v>
      </c>
      <c r="X8" s="2">
        <f>VLOOKUP($C8,[1]Data!$C$3:$Z$86,X$1, FALSE)</f>
        <v>0</v>
      </c>
      <c r="Y8" s="2">
        <f>VLOOKUP($C8,[1]Data!$C$3:$Z$86,Y$1, FALSE)</f>
        <v>0</v>
      </c>
      <c r="Z8" s="2">
        <f>VLOOKUP($C8,[1]Data!$C$3:$Z$86,Z$1, FALSE)</f>
        <v>0</v>
      </c>
      <c r="AA8" s="2">
        <f>VLOOKUP($C8,[1]Data!$C$3:$Z$86,AA$1, FALSE)</f>
        <v>0</v>
      </c>
      <c r="AB8" s="2">
        <f>VLOOKUP($C8,[1]Data!$C$3:$Z$86,AB$1, FALSE)</f>
        <v>0</v>
      </c>
      <c r="AC8" s="2">
        <f>VLOOKUP($C8,[1]Data!$C$3:$Z$86,AC$1, FALSE)</f>
        <v>0</v>
      </c>
      <c r="AE8" s="2">
        <f t="shared" si="9"/>
        <v>9</v>
      </c>
      <c r="AF8" s="2">
        <f t="shared" si="9"/>
        <v>1</v>
      </c>
      <c r="AG8" s="2">
        <f t="shared" si="9"/>
        <v>5</v>
      </c>
      <c r="AH8" s="2">
        <f t="shared" si="9"/>
        <v>6</v>
      </c>
      <c r="AI8" s="2">
        <f t="shared" si="9"/>
        <v>2</v>
      </c>
      <c r="AJ8" s="2">
        <f t="shared" si="9"/>
        <v>8</v>
      </c>
      <c r="AK8" s="2">
        <f t="shared" si="9"/>
        <v>4</v>
      </c>
      <c r="AL8" s="2">
        <f t="shared" si="9"/>
        <v>3</v>
      </c>
      <c r="AM8" s="2">
        <f t="shared" si="9"/>
        <v>7</v>
      </c>
      <c r="AN8" s="2">
        <f t="shared" si="9"/>
        <v>9</v>
      </c>
      <c r="AO8" s="2">
        <f t="shared" si="9"/>
        <v>23</v>
      </c>
      <c r="AP8" s="2">
        <f t="shared" si="9"/>
        <v>9</v>
      </c>
      <c r="AQ8" s="2">
        <f t="shared" si="9"/>
        <v>9</v>
      </c>
      <c r="AR8" s="2">
        <f t="shared" si="9"/>
        <v>22</v>
      </c>
      <c r="AS8" s="2">
        <f t="shared" si="9"/>
        <v>20</v>
      </c>
      <c r="AT8" s="2">
        <f t="shared" si="9"/>
        <v>21</v>
      </c>
      <c r="AU8" s="2">
        <f t="shared" si="10"/>
        <v>9</v>
      </c>
      <c r="AV8" s="2">
        <f t="shared" si="10"/>
        <v>9</v>
      </c>
      <c r="AW8" s="2">
        <f t="shared" si="10"/>
        <v>9</v>
      </c>
      <c r="AX8" s="2">
        <f t="shared" si="10"/>
        <v>9</v>
      </c>
      <c r="AY8" s="2">
        <f t="shared" si="10"/>
        <v>9</v>
      </c>
      <c r="AZ8" s="2">
        <f t="shared" si="10"/>
        <v>9</v>
      </c>
      <c r="BA8" s="2">
        <f t="shared" si="10"/>
        <v>9</v>
      </c>
      <c r="BC8" s="2" t="str">
        <f t="shared" si="11"/>
        <v/>
      </c>
      <c r="BD8" s="2">
        <f t="shared" si="11"/>
        <v>508</v>
      </c>
      <c r="BE8" s="2">
        <f t="shared" si="11"/>
        <v>355</v>
      </c>
      <c r="BF8" s="2">
        <f t="shared" si="11"/>
        <v>269</v>
      </c>
      <c r="BG8" s="2">
        <f t="shared" si="11"/>
        <v>496</v>
      </c>
      <c r="BH8" s="2">
        <f t="shared" si="11"/>
        <v>20</v>
      </c>
      <c r="BI8" s="2">
        <f t="shared" si="11"/>
        <v>404</v>
      </c>
      <c r="BJ8" s="2">
        <f t="shared" si="11"/>
        <v>465</v>
      </c>
      <c r="BK8" s="2">
        <f t="shared" si="11"/>
        <v>53</v>
      </c>
      <c r="BL8" s="2" t="str">
        <f t="shared" si="11"/>
        <v/>
      </c>
      <c r="BM8" s="2">
        <v>-49</v>
      </c>
      <c r="BN8" s="2" t="str">
        <f t="shared" si="11"/>
        <v/>
      </c>
      <c r="BO8" s="2" t="str">
        <f t="shared" si="11"/>
        <v/>
      </c>
      <c r="BP8" s="2">
        <v>-19</v>
      </c>
      <c r="BQ8" s="2">
        <v>-5</v>
      </c>
      <c r="BR8" s="2">
        <v>-15</v>
      </c>
      <c r="BS8" s="2" t="str">
        <f t="shared" si="12"/>
        <v/>
      </c>
      <c r="BT8" s="2" t="str">
        <f t="shared" si="12"/>
        <v/>
      </c>
      <c r="BU8" s="2" t="str">
        <f t="shared" si="12"/>
        <v/>
      </c>
      <c r="BV8" s="2" t="str">
        <f t="shared" si="12"/>
        <v/>
      </c>
      <c r="BZ8" s="2">
        <f>BD8</f>
        <v>508</v>
      </c>
      <c r="CA8" s="2">
        <f t="shared" ref="CA8:CG8" si="18">BE8</f>
        <v>355</v>
      </c>
      <c r="CB8" s="2">
        <f t="shared" si="18"/>
        <v>269</v>
      </c>
      <c r="CC8" s="2">
        <f t="shared" si="18"/>
        <v>496</v>
      </c>
      <c r="CD8" s="2">
        <f t="shared" si="18"/>
        <v>20</v>
      </c>
      <c r="CE8" s="2">
        <f t="shared" si="18"/>
        <v>404</v>
      </c>
      <c r="CF8" s="2">
        <f t="shared" si="18"/>
        <v>465</v>
      </c>
      <c r="CG8" s="2">
        <f t="shared" si="18"/>
        <v>53</v>
      </c>
      <c r="CH8" s="2">
        <f>BM8</f>
        <v>-49</v>
      </c>
      <c r="CI8" s="2">
        <f>BP8</f>
        <v>-19</v>
      </c>
      <c r="CJ8" s="2">
        <f>BQ8</f>
        <v>-5</v>
      </c>
      <c r="CK8" s="2">
        <f>BR8</f>
        <v>-15</v>
      </c>
      <c r="CO8" s="2" t="str">
        <f t="shared" si="14"/>
        <v>Wilander</v>
      </c>
      <c r="CP8" s="4">
        <f>BZ8+$DG8</f>
        <v>519.16221792201384</v>
      </c>
      <c r="CQ8" s="4">
        <f t="shared" ref="CQ8:CZ18" si="19">CA8+$DG8</f>
        <v>366.16221792201389</v>
      </c>
      <c r="CR8" s="4">
        <f t="shared" si="19"/>
        <v>280.16221792201389</v>
      </c>
      <c r="CS8" s="4">
        <f t="shared" si="19"/>
        <v>507.16221792201389</v>
      </c>
      <c r="CT8" s="4">
        <f t="shared" si="19"/>
        <v>31.162217922013888</v>
      </c>
      <c r="CU8" s="4">
        <f t="shared" si="19"/>
        <v>415.16221792201389</v>
      </c>
      <c r="CV8" s="4">
        <f t="shared" si="19"/>
        <v>476.16221792201389</v>
      </c>
      <c r="CW8" s="4">
        <f t="shared" si="19"/>
        <v>64.162217922013895</v>
      </c>
      <c r="CX8" s="4">
        <f t="shared" si="19"/>
        <v>-37.837782077986112</v>
      </c>
      <c r="CY8" s="4">
        <f t="shared" si="19"/>
        <v>-7.8377820779861107</v>
      </c>
      <c r="CZ8" s="4">
        <f t="shared" ref="CZ8" si="20">CJ8+$DG8</f>
        <v>6.1622179220138893</v>
      </c>
      <c r="DA8" s="4">
        <f t="shared" ref="DA8" si="21">CK8+$DG8</f>
        <v>-3.8377820779861107</v>
      </c>
      <c r="DB8" s="4"/>
      <c r="DC8" s="4"/>
      <c r="DD8" s="4"/>
      <c r="DE8" s="2">
        <f>VLOOKUP(B8,[1]Ranking!$C$3:$BM$19, 34, FALSE)</f>
        <v>44</v>
      </c>
      <c r="DF8" s="4">
        <f>VLOOKUP(B8,[1]Ranking!$C$3:$BM$19, 63, FALSE)</f>
        <v>491.13758856861114</v>
      </c>
      <c r="DG8" s="4">
        <f t="shared" si="16"/>
        <v>11.162217922013889</v>
      </c>
    </row>
    <row r="9" spans="1:111" x14ac:dyDescent="0.3">
      <c r="A9" s="2">
        <v>7</v>
      </c>
      <c r="B9" s="2" t="str">
        <f>VLOOKUP(A9,[1]Ranking!$X$3:$AA$19, 4, FALSE)</f>
        <v>Vilas</v>
      </c>
      <c r="C9" s="2" t="s">
        <v>11</v>
      </c>
      <c r="D9" s="3">
        <f t="shared" ca="1" si="7"/>
        <v>0.54672652469717431</v>
      </c>
      <c r="E9" s="2">
        <f t="shared" ca="1" si="8"/>
        <v>6</v>
      </c>
      <c r="F9" s="2" t="str">
        <f t="shared" si="17"/>
        <v>Vilas</v>
      </c>
      <c r="G9" s="2">
        <f>VLOOKUP($C9,[1]Data!$C$3:$Z$86,G$1, FALSE)</f>
        <v>0</v>
      </c>
      <c r="H9" s="2">
        <f>VLOOKUP($C9,[1]Data!$C$3:$Z$86,H$1, FALSE)</f>
        <v>0</v>
      </c>
      <c r="I9" s="2">
        <f>VLOOKUP($C9,[1]Data!$C$3:$Z$86,I$1, FALSE)</f>
        <v>35</v>
      </c>
      <c r="J9" s="2">
        <f>VLOOKUP($C9,[1]Data!$C$3:$Z$86,J$1, FALSE)</f>
        <v>71</v>
      </c>
      <c r="K9" s="2">
        <f>VLOOKUP($C9,[1]Data!$C$3:$Z$86,K$1, FALSE)</f>
        <v>52</v>
      </c>
      <c r="L9" s="2">
        <f>VLOOKUP($C9,[1]Data!$C$3:$Z$86,L$1, FALSE)</f>
        <v>319</v>
      </c>
      <c r="M9" s="2">
        <f>VLOOKUP($C9,[1]Data!$C$3:$Z$86,M$1, FALSE)</f>
        <v>138</v>
      </c>
      <c r="N9" s="2">
        <f>VLOOKUP($C9,[1]Data!$C$3:$Z$86,N$1, FALSE)</f>
        <v>545</v>
      </c>
      <c r="O9" s="2">
        <f>VLOOKUP($C9,[1]Data!$C$3:$Z$86,O$1, FALSE)</f>
        <v>299</v>
      </c>
      <c r="P9" s="2">
        <f>VLOOKUP($C9,[1]Data!$C$3:$Z$86,P$1, FALSE)</f>
        <v>152</v>
      </c>
      <c r="Q9" s="2">
        <f>VLOOKUP($C9,[1]Data!$C$3:$Z$86,Q$1, FALSE)</f>
        <v>195</v>
      </c>
      <c r="R9" s="2">
        <f>VLOOKUP($C9,[1]Data!$C$3:$Z$86,R$1, FALSE)</f>
        <v>105</v>
      </c>
      <c r="S9" s="2">
        <f>VLOOKUP($C9,[1]Data!$C$3:$Z$86,S$1, FALSE)</f>
        <v>283</v>
      </c>
      <c r="T9" s="2">
        <f>VLOOKUP($C9,[1]Data!$C$3:$Z$86,T$1, FALSE)</f>
        <v>112</v>
      </c>
      <c r="U9" s="2">
        <f>VLOOKUP($C9,[1]Data!$C$3:$Z$86,U$1, FALSE)</f>
        <v>-31</v>
      </c>
      <c r="V9" s="2">
        <f>VLOOKUP($C9,[1]Data!$C$3:$Z$86,V$1, FALSE)</f>
        <v>-9</v>
      </c>
      <c r="W9" s="2">
        <f>VLOOKUP($C9,[1]Data!$C$3:$Z$86,W$1, FALSE)</f>
        <v>101</v>
      </c>
      <c r="X9" s="2">
        <f>VLOOKUP($C9,[1]Data!$C$3:$Z$86,X$1, FALSE)</f>
        <v>-53</v>
      </c>
      <c r="Y9" s="2">
        <f>VLOOKUP($C9,[1]Data!$C$3:$Z$86,Y$1, FALSE)</f>
        <v>-45</v>
      </c>
      <c r="Z9" s="2">
        <f>VLOOKUP($C9,[1]Data!$C$3:$Z$86,Z$1, FALSE)</f>
        <v>-99</v>
      </c>
      <c r="AA9" s="2">
        <f>VLOOKUP($C9,[1]Data!$C$3:$Z$86,AA$1, FALSE)</f>
        <v>0</v>
      </c>
      <c r="AB9" s="2">
        <f>VLOOKUP($C9,[1]Data!$C$3:$Z$86,AB$1, FALSE)</f>
        <v>0</v>
      </c>
      <c r="AC9" s="2">
        <f>VLOOKUP($C9,[1]Data!$C$3:$Z$86,AC$1, FALSE)</f>
        <v>0</v>
      </c>
      <c r="AE9" s="2">
        <f t="shared" si="9"/>
        <v>14</v>
      </c>
      <c r="AF9" s="2">
        <f t="shared" si="9"/>
        <v>14</v>
      </c>
      <c r="AG9" s="2">
        <f t="shared" si="9"/>
        <v>13</v>
      </c>
      <c r="AH9" s="2">
        <f t="shared" si="9"/>
        <v>11</v>
      </c>
      <c r="AI9" s="2">
        <f t="shared" si="9"/>
        <v>12</v>
      </c>
      <c r="AJ9" s="2">
        <f t="shared" si="9"/>
        <v>2</v>
      </c>
      <c r="AK9" s="2">
        <f t="shared" si="9"/>
        <v>7</v>
      </c>
      <c r="AL9" s="2">
        <f t="shared" si="9"/>
        <v>1</v>
      </c>
      <c r="AM9" s="2">
        <f t="shared" si="9"/>
        <v>3</v>
      </c>
      <c r="AN9" s="2">
        <f t="shared" si="9"/>
        <v>6</v>
      </c>
      <c r="AO9" s="2">
        <f t="shared" si="9"/>
        <v>5</v>
      </c>
      <c r="AP9" s="2">
        <f t="shared" si="9"/>
        <v>9</v>
      </c>
      <c r="AQ9" s="2">
        <f t="shared" si="9"/>
        <v>4</v>
      </c>
      <c r="AR9" s="2">
        <f t="shared" si="9"/>
        <v>8</v>
      </c>
      <c r="AS9" s="2">
        <f t="shared" si="9"/>
        <v>20</v>
      </c>
      <c r="AT9" s="2">
        <f t="shared" si="9"/>
        <v>19</v>
      </c>
      <c r="AU9" s="2">
        <f t="shared" si="10"/>
        <v>10</v>
      </c>
      <c r="AV9" s="2">
        <f t="shared" si="10"/>
        <v>22</v>
      </c>
      <c r="AW9" s="2">
        <f t="shared" si="10"/>
        <v>21</v>
      </c>
      <c r="AX9" s="2">
        <f t="shared" si="10"/>
        <v>23</v>
      </c>
      <c r="AY9" s="2">
        <f t="shared" si="10"/>
        <v>14</v>
      </c>
      <c r="AZ9" s="2">
        <f t="shared" si="10"/>
        <v>14</v>
      </c>
      <c r="BA9" s="2">
        <f t="shared" si="10"/>
        <v>14</v>
      </c>
      <c r="BC9" s="2" t="str">
        <f t="shared" si="11"/>
        <v/>
      </c>
      <c r="BD9" s="2" t="str">
        <f t="shared" si="11"/>
        <v/>
      </c>
      <c r="BE9" s="2">
        <f t="shared" si="11"/>
        <v>35</v>
      </c>
      <c r="BF9" s="2">
        <f t="shared" si="11"/>
        <v>71</v>
      </c>
      <c r="BG9" s="2">
        <f t="shared" si="11"/>
        <v>52</v>
      </c>
      <c r="BH9" s="2">
        <f t="shared" si="11"/>
        <v>319</v>
      </c>
      <c r="BI9" s="2">
        <f t="shared" si="11"/>
        <v>138</v>
      </c>
      <c r="BJ9" s="2">
        <f t="shared" si="11"/>
        <v>545</v>
      </c>
      <c r="BK9" s="2">
        <f t="shared" si="11"/>
        <v>299</v>
      </c>
      <c r="BL9" s="2">
        <f t="shared" si="11"/>
        <v>152</v>
      </c>
      <c r="BM9" s="2">
        <f t="shared" si="11"/>
        <v>195</v>
      </c>
      <c r="BN9" s="2">
        <f t="shared" si="11"/>
        <v>105</v>
      </c>
      <c r="BO9" s="2">
        <f t="shared" si="11"/>
        <v>283</v>
      </c>
      <c r="BP9" s="2">
        <f t="shared" si="11"/>
        <v>112</v>
      </c>
      <c r="BQ9" s="2">
        <v>-31</v>
      </c>
      <c r="BR9" s="2">
        <v>-9</v>
      </c>
      <c r="BS9" s="2">
        <f t="shared" si="12"/>
        <v>101</v>
      </c>
      <c r="BZ9" s="2">
        <f>BE9</f>
        <v>35</v>
      </c>
      <c r="CA9" s="2">
        <f t="shared" ref="CA9:CK9" si="22">BF9</f>
        <v>71</v>
      </c>
      <c r="CB9" s="2">
        <f t="shared" si="22"/>
        <v>52</v>
      </c>
      <c r="CC9" s="2">
        <f t="shared" si="22"/>
        <v>319</v>
      </c>
      <c r="CD9" s="2">
        <f t="shared" si="22"/>
        <v>138</v>
      </c>
      <c r="CE9" s="2">
        <f t="shared" si="22"/>
        <v>545</v>
      </c>
      <c r="CF9" s="2">
        <f t="shared" si="22"/>
        <v>299</v>
      </c>
      <c r="CG9" s="2">
        <f t="shared" si="22"/>
        <v>152</v>
      </c>
      <c r="CH9" s="2">
        <f t="shared" si="22"/>
        <v>195</v>
      </c>
      <c r="CI9" s="2">
        <f t="shared" si="22"/>
        <v>105</v>
      </c>
      <c r="CJ9" s="2">
        <f t="shared" si="22"/>
        <v>283</v>
      </c>
      <c r="CK9" s="2">
        <f t="shared" si="22"/>
        <v>112</v>
      </c>
      <c r="CL9" s="2">
        <f>BS9</f>
        <v>101</v>
      </c>
      <c r="CM9" s="2">
        <f>BQ9</f>
        <v>-31</v>
      </c>
      <c r="CN9" s="2">
        <f>BR9</f>
        <v>-9</v>
      </c>
      <c r="CO9" s="2" t="str">
        <f t="shared" si="14"/>
        <v>Vilas</v>
      </c>
      <c r="CP9" s="4">
        <f t="shared" ref="CP9:CP18" si="23">BZ9+$DG9</f>
        <v>46.16221792201388</v>
      </c>
      <c r="CQ9" s="4">
        <f t="shared" si="19"/>
        <v>82.16221792201388</v>
      </c>
      <c r="CR9" s="4">
        <f t="shared" si="19"/>
        <v>63.16221792201388</v>
      </c>
      <c r="CS9" s="4">
        <f t="shared" si="19"/>
        <v>330.16221792201389</v>
      </c>
      <c r="CT9" s="4">
        <f t="shared" si="19"/>
        <v>149.16221792201387</v>
      </c>
      <c r="CU9" s="4">
        <f t="shared" si="19"/>
        <v>556.16221792201384</v>
      </c>
      <c r="CV9" s="4">
        <f t="shared" si="19"/>
        <v>310.16221792201389</v>
      </c>
      <c r="CW9" s="4">
        <f t="shared" si="19"/>
        <v>163.16221792201387</v>
      </c>
      <c r="CX9" s="4">
        <f t="shared" si="19"/>
        <v>206.16221792201387</v>
      </c>
      <c r="CY9" s="4">
        <f t="shared" si="19"/>
        <v>116.16221792201388</v>
      </c>
      <c r="CZ9" s="4">
        <f>CJ9+$DG9</f>
        <v>294.16221792201389</v>
      </c>
      <c r="DA9" s="4">
        <f>CK9+$DG9</f>
        <v>123.16221792201388</v>
      </c>
      <c r="DB9" s="4">
        <f>CL9+$DG9</f>
        <v>112.16221792201388</v>
      </c>
      <c r="DC9" s="4">
        <f>CM9+$DG9</f>
        <v>-19.837782077986123</v>
      </c>
      <c r="DD9" s="4">
        <f>CN9+$DG9</f>
        <v>2.1622179220138769</v>
      </c>
      <c r="DE9" s="2">
        <f>VLOOKUP(B9,[1]Ranking!$C$3:$BM$19, 34, FALSE)</f>
        <v>49</v>
      </c>
      <c r="DF9" s="4">
        <f>VLOOKUP(B9,[1]Ranking!$C$3:$BM$19, 63, FALSE)</f>
        <v>546.94867817867998</v>
      </c>
      <c r="DG9" s="4">
        <f t="shared" si="16"/>
        <v>11.162217922013877</v>
      </c>
    </row>
    <row r="10" spans="1:111" x14ac:dyDescent="0.3">
      <c r="A10" s="2">
        <v>8</v>
      </c>
      <c r="B10" s="2" t="str">
        <f>VLOOKUP(A10,[1]Ranking!$X$3:$AA$19, 4, FALSE)</f>
        <v>Murray</v>
      </c>
      <c r="C10" s="2" t="s">
        <v>12</v>
      </c>
      <c r="D10" s="3">
        <f t="shared" ca="1" si="7"/>
        <v>0.49371290315295291</v>
      </c>
      <c r="E10" s="2">
        <f t="shared" ca="1" si="8"/>
        <v>8</v>
      </c>
      <c r="F10" s="2" t="str">
        <f t="shared" si="17"/>
        <v>Murray</v>
      </c>
      <c r="G10" s="2">
        <f>VLOOKUP($C10,[1]Data!$C$3:$Z$86,G$1, FALSE)</f>
        <v>0</v>
      </c>
      <c r="H10" s="2">
        <f>VLOOKUP($C10,[1]Data!$C$3:$Z$86,H$1, FALSE)</f>
        <v>-25</v>
      </c>
      <c r="I10" s="2">
        <f>VLOOKUP($C10,[1]Data!$C$3:$Z$86,I$1, FALSE)</f>
        <v>0</v>
      </c>
      <c r="J10" s="2">
        <f>VLOOKUP($C10,[1]Data!$C$3:$Z$86,J$1, FALSE)</f>
        <v>33</v>
      </c>
      <c r="K10" s="2">
        <f>VLOOKUP($C10,[1]Data!$C$3:$Z$86,K$1, FALSE)</f>
        <v>122</v>
      </c>
      <c r="L10" s="2">
        <f>VLOOKUP($C10,[1]Data!$C$3:$Z$86,L$1, FALSE)</f>
        <v>161</v>
      </c>
      <c r="M10" s="2">
        <f>VLOOKUP($C10,[1]Data!$C$3:$Z$86,M$1, FALSE)</f>
        <v>177</v>
      </c>
      <c r="N10" s="2">
        <f>VLOOKUP($C10,[1]Data!$C$3:$Z$86,N$1, FALSE)</f>
        <v>221</v>
      </c>
      <c r="O10" s="2">
        <f>VLOOKUP($C10,[1]Data!$C$3:$Z$86,O$1, FALSE)</f>
        <v>0</v>
      </c>
      <c r="P10" s="2">
        <f>VLOOKUP($C10,[1]Data!$C$3:$Z$86,P$1, FALSE)</f>
        <v>225</v>
      </c>
      <c r="Q10" s="2">
        <f>VLOOKUP($C10,[1]Data!$C$3:$Z$86,Q$1, FALSE)</f>
        <v>295</v>
      </c>
      <c r="R10" s="2">
        <f>VLOOKUP($C10,[1]Data!$C$3:$Z$86,R$1, FALSE)</f>
        <v>367</v>
      </c>
      <c r="S10" s="2">
        <f>VLOOKUP($C10,[1]Data!$C$3:$Z$86,S$1, FALSE)</f>
        <v>304</v>
      </c>
      <c r="T10" s="2">
        <f>VLOOKUP($C10,[1]Data!$C$3:$Z$86,T$1, FALSE)</f>
        <v>0</v>
      </c>
      <c r="U10" s="2">
        <f>VLOOKUP($C10,[1]Data!$C$3:$Z$86,U$1, FALSE)</f>
        <v>0</v>
      </c>
      <c r="V10" s="2">
        <f>VLOOKUP($C10,[1]Data!$C$3:$Z$86,V$1, FALSE)</f>
        <v>0</v>
      </c>
      <c r="W10" s="2">
        <f>VLOOKUP($C10,[1]Data!$C$3:$Z$86,W$1, FALSE)</f>
        <v>0</v>
      </c>
      <c r="X10" s="2">
        <f>VLOOKUP($C10,[1]Data!$C$3:$Z$86,X$1, FALSE)</f>
        <v>0</v>
      </c>
      <c r="Y10" s="2">
        <f>VLOOKUP($C10,[1]Data!$C$3:$Z$86,Y$1, FALSE)</f>
        <v>0</v>
      </c>
      <c r="Z10" s="2">
        <f>VLOOKUP($C10,[1]Data!$C$3:$Z$86,Z$1, FALSE)</f>
        <v>0</v>
      </c>
      <c r="AA10" s="2">
        <f>VLOOKUP($C10,[1]Data!$C$3:$Z$86,AA$1, FALSE)</f>
        <v>0</v>
      </c>
      <c r="AB10" s="2">
        <f>VLOOKUP($C10,[1]Data!$C$3:$Z$86,AB$1, FALSE)</f>
        <v>0</v>
      </c>
      <c r="AC10" s="2">
        <f>VLOOKUP($C10,[1]Data!$C$3:$Z$86,AC$1, FALSE)</f>
        <v>0</v>
      </c>
      <c r="AE10" s="2">
        <f t="shared" si="9"/>
        <v>10</v>
      </c>
      <c r="AF10" s="2">
        <f t="shared" si="9"/>
        <v>23</v>
      </c>
      <c r="AG10" s="2">
        <f t="shared" si="9"/>
        <v>10</v>
      </c>
      <c r="AH10" s="2">
        <f t="shared" si="9"/>
        <v>9</v>
      </c>
      <c r="AI10" s="2">
        <f t="shared" si="9"/>
        <v>8</v>
      </c>
      <c r="AJ10" s="2">
        <f t="shared" si="9"/>
        <v>7</v>
      </c>
      <c r="AK10" s="2">
        <f t="shared" si="9"/>
        <v>6</v>
      </c>
      <c r="AL10" s="2">
        <f t="shared" si="9"/>
        <v>5</v>
      </c>
      <c r="AM10" s="2">
        <f t="shared" si="9"/>
        <v>10</v>
      </c>
      <c r="AN10" s="2">
        <f t="shared" si="9"/>
        <v>4</v>
      </c>
      <c r="AO10" s="2">
        <f t="shared" si="9"/>
        <v>3</v>
      </c>
      <c r="AP10" s="2">
        <f t="shared" si="9"/>
        <v>1</v>
      </c>
      <c r="AQ10" s="2">
        <f t="shared" si="9"/>
        <v>2</v>
      </c>
      <c r="AR10" s="2">
        <f t="shared" si="9"/>
        <v>10</v>
      </c>
      <c r="AS10" s="2">
        <f t="shared" si="9"/>
        <v>10</v>
      </c>
      <c r="AT10" s="2">
        <f t="shared" si="9"/>
        <v>10</v>
      </c>
      <c r="AU10" s="2">
        <f t="shared" si="10"/>
        <v>10</v>
      </c>
      <c r="AV10" s="2">
        <f t="shared" si="10"/>
        <v>10</v>
      </c>
      <c r="AW10" s="2">
        <f t="shared" si="10"/>
        <v>10</v>
      </c>
      <c r="AX10" s="2">
        <f t="shared" si="10"/>
        <v>10</v>
      </c>
      <c r="AY10" s="2">
        <f t="shared" si="10"/>
        <v>10</v>
      </c>
      <c r="AZ10" s="2">
        <f t="shared" si="10"/>
        <v>10</v>
      </c>
      <c r="BA10" s="2">
        <f t="shared" si="10"/>
        <v>10</v>
      </c>
      <c r="BC10" s="2" t="str">
        <f t="shared" si="11"/>
        <v/>
      </c>
      <c r="BD10" s="2">
        <v>-25</v>
      </c>
      <c r="BE10" s="2" t="str">
        <f t="shared" si="11"/>
        <v/>
      </c>
      <c r="BF10" s="2">
        <f t="shared" si="11"/>
        <v>33</v>
      </c>
      <c r="BG10" s="2">
        <f t="shared" si="11"/>
        <v>122</v>
      </c>
      <c r="BH10" s="2">
        <f t="shared" si="11"/>
        <v>161</v>
      </c>
      <c r="BI10" s="2">
        <f t="shared" si="11"/>
        <v>177</v>
      </c>
      <c r="BJ10" s="2">
        <f t="shared" si="11"/>
        <v>221</v>
      </c>
      <c r="BK10" s="2" t="str">
        <f t="shared" si="11"/>
        <v/>
      </c>
      <c r="BL10" s="2">
        <f t="shared" si="11"/>
        <v>225</v>
      </c>
      <c r="BM10" s="2">
        <f t="shared" si="11"/>
        <v>295</v>
      </c>
      <c r="BN10" s="2">
        <f t="shared" si="11"/>
        <v>367</v>
      </c>
      <c r="BO10" s="2">
        <f t="shared" si="11"/>
        <v>304</v>
      </c>
      <c r="BP10" s="2" t="str">
        <f t="shared" si="11"/>
        <v/>
      </c>
      <c r="BQ10" s="2" t="str">
        <f t="shared" si="11"/>
        <v/>
      </c>
      <c r="BR10" s="2" t="str">
        <f t="shared" si="11"/>
        <v/>
      </c>
      <c r="BS10" s="2" t="str">
        <f t="shared" si="12"/>
        <v/>
      </c>
      <c r="BT10" s="2" t="str">
        <f t="shared" si="12"/>
        <v/>
      </c>
      <c r="BU10" s="2" t="str">
        <f t="shared" si="12"/>
        <v/>
      </c>
      <c r="BV10" s="2" t="str">
        <f t="shared" si="12"/>
        <v/>
      </c>
      <c r="BZ10" s="2">
        <f>BF10</f>
        <v>33</v>
      </c>
      <c r="CA10" s="2">
        <f t="shared" ref="CA10:CD10" si="24">BG10</f>
        <v>122</v>
      </c>
      <c r="CB10" s="2">
        <f t="shared" si="24"/>
        <v>161</v>
      </c>
      <c r="CC10" s="2">
        <f t="shared" si="24"/>
        <v>177</v>
      </c>
      <c r="CD10" s="2">
        <f t="shared" si="24"/>
        <v>221</v>
      </c>
      <c r="CE10" s="2">
        <f>BL10</f>
        <v>225</v>
      </c>
      <c r="CF10" s="2">
        <f t="shared" ref="CF10:CH10" si="25">BM10</f>
        <v>295</v>
      </c>
      <c r="CG10" s="2">
        <f t="shared" si="25"/>
        <v>367</v>
      </c>
      <c r="CH10" s="2">
        <f t="shared" si="25"/>
        <v>304</v>
      </c>
      <c r="CI10" s="2">
        <f>BD10</f>
        <v>-25</v>
      </c>
      <c r="CO10" s="2" t="str">
        <f t="shared" si="14"/>
        <v>Murray</v>
      </c>
      <c r="CP10" s="4">
        <f t="shared" si="23"/>
        <v>25.227882755363559</v>
      </c>
      <c r="CQ10" s="4">
        <f t="shared" si="19"/>
        <v>114.22788275536357</v>
      </c>
      <c r="CR10" s="4">
        <f t="shared" si="19"/>
        <v>153.22788275536357</v>
      </c>
      <c r="CS10" s="4">
        <f t="shared" si="19"/>
        <v>169.22788275536357</v>
      </c>
      <c r="CT10" s="4">
        <f t="shared" si="19"/>
        <v>213.22788275536357</v>
      </c>
      <c r="CU10" s="4">
        <f>CE10+$DG10</f>
        <v>217.22788275536357</v>
      </c>
      <c r="CV10" s="4">
        <f>CE10+$DG10</f>
        <v>217.22788275536357</v>
      </c>
      <c r="CW10" s="4">
        <f t="shared" si="19"/>
        <v>359.22788275536357</v>
      </c>
      <c r="CX10" s="4">
        <f t="shared" si="19"/>
        <v>296.22788275536357</v>
      </c>
      <c r="CY10" s="4">
        <f t="shared" si="19"/>
        <v>-32.772117244636441</v>
      </c>
      <c r="CZ10" s="4"/>
      <c r="DA10" s="4"/>
      <c r="DB10" s="4"/>
      <c r="DC10" s="4"/>
      <c r="DD10" s="4"/>
      <c r="DE10" s="2">
        <f>VLOOKUP(B10,[1]Ranking!$C$3:$BM$19, 34, FALSE)</f>
        <v>46</v>
      </c>
      <c r="DF10" s="4">
        <f>VLOOKUP(B10,[1]Ranking!$C$3:$BM$19, 63, FALSE)</f>
        <v>-357.51739325327617</v>
      </c>
      <c r="DG10" s="4">
        <f t="shared" si="16"/>
        <v>-7.7721172446364388</v>
      </c>
    </row>
    <row r="11" spans="1:111" x14ac:dyDescent="0.3">
      <c r="A11" s="2">
        <v>9</v>
      </c>
      <c r="B11" s="2" t="str">
        <f>VLOOKUP(A11,[1]Ranking!$X$3:$AA$19, 4, FALSE)</f>
        <v>Wawrinka</v>
      </c>
      <c r="C11" s="2" t="s">
        <v>13</v>
      </c>
      <c r="D11" s="3">
        <f t="shared" ca="1" si="7"/>
        <v>0.76751419124483089</v>
      </c>
      <c r="E11" s="2">
        <f t="shared" ca="1" si="8"/>
        <v>4</v>
      </c>
      <c r="F11" s="2" t="str">
        <f t="shared" si="17"/>
        <v>Wawrinka</v>
      </c>
      <c r="G11" s="2">
        <f>VLOOKUP($C11,[1]Data!$C$3:$Z$86,G$1, FALSE)</f>
        <v>42</v>
      </c>
      <c r="H11" s="2">
        <f>VLOOKUP($C11,[1]Data!$C$3:$Z$86,H$1, FALSE)</f>
        <v>-3</v>
      </c>
      <c r="I11" s="2">
        <f>VLOOKUP($C11,[1]Data!$C$3:$Z$86,I$1, FALSE)</f>
        <v>30</v>
      </c>
      <c r="J11" s="2">
        <f>VLOOKUP($C11,[1]Data!$C$3:$Z$86,J$1, FALSE)</f>
        <v>87</v>
      </c>
      <c r="K11" s="2">
        <f>VLOOKUP($C11,[1]Data!$C$3:$Z$86,K$1, FALSE)</f>
        <v>31</v>
      </c>
      <c r="L11" s="2">
        <f>VLOOKUP($C11,[1]Data!$C$3:$Z$86,L$1, FALSE)</f>
        <v>58</v>
      </c>
      <c r="M11" s="2">
        <f>VLOOKUP($C11,[1]Data!$C$3:$Z$86,M$1, FALSE)</f>
        <v>82</v>
      </c>
      <c r="N11" s="2">
        <f>VLOOKUP($C11,[1]Data!$C$3:$Z$86,N$1, FALSE)</f>
        <v>173</v>
      </c>
      <c r="O11" s="2">
        <f>VLOOKUP($C11,[1]Data!$C$3:$Z$86,O$1, FALSE)</f>
        <v>238</v>
      </c>
      <c r="P11" s="2">
        <f>VLOOKUP($C11,[1]Data!$C$3:$Z$86,P$1, FALSE)</f>
        <v>-41</v>
      </c>
      <c r="Q11" s="2">
        <f>VLOOKUP($C11,[1]Data!$C$3:$Z$86,Q$1, FALSE)</f>
        <v>517</v>
      </c>
      <c r="R11" s="2">
        <f>VLOOKUP($C11,[1]Data!$C$3:$Z$86,R$1, FALSE)</f>
        <v>259</v>
      </c>
      <c r="S11" s="2">
        <f>VLOOKUP($C11,[1]Data!$C$3:$Z$86,S$1, FALSE)</f>
        <v>387</v>
      </c>
      <c r="T11" s="2">
        <f>VLOOKUP($C11,[1]Data!$C$3:$Z$86,T$1, FALSE)</f>
        <v>-67</v>
      </c>
      <c r="U11" s="2">
        <f>VLOOKUP($C11,[1]Data!$C$3:$Z$86,U$1, FALSE)</f>
        <v>0</v>
      </c>
      <c r="V11" s="2">
        <f>VLOOKUP($C11,[1]Data!$C$3:$Z$86,V$1, FALSE)</f>
        <v>0</v>
      </c>
      <c r="W11" s="2">
        <f>VLOOKUP($C11,[1]Data!$C$3:$Z$86,W$1, FALSE)</f>
        <v>0</v>
      </c>
      <c r="X11" s="2">
        <f>VLOOKUP($C11,[1]Data!$C$3:$Z$86,X$1, FALSE)</f>
        <v>0</v>
      </c>
      <c r="Y11" s="2">
        <f>VLOOKUP($C11,[1]Data!$C$3:$Z$86,Y$1, FALSE)</f>
        <v>0</v>
      </c>
      <c r="Z11" s="2">
        <f>VLOOKUP($C11,[1]Data!$C$3:$Z$86,Z$1, FALSE)</f>
        <v>0</v>
      </c>
      <c r="AA11" s="2">
        <f>VLOOKUP($C11,[1]Data!$C$3:$Z$86,AA$1, FALSE)</f>
        <v>0</v>
      </c>
      <c r="AB11" s="2">
        <f>VLOOKUP($C11,[1]Data!$C$3:$Z$86,AB$1, FALSE)</f>
        <v>0</v>
      </c>
      <c r="AC11" s="2">
        <f>VLOOKUP($C11,[1]Data!$C$3:$Z$86,AC$1, FALSE)</f>
        <v>0</v>
      </c>
      <c r="AE11" s="2">
        <f t="shared" si="9"/>
        <v>9</v>
      </c>
      <c r="AF11" s="2">
        <f t="shared" si="9"/>
        <v>21</v>
      </c>
      <c r="AG11" s="2">
        <f t="shared" si="9"/>
        <v>11</v>
      </c>
      <c r="AH11" s="2">
        <f t="shared" si="9"/>
        <v>6</v>
      </c>
      <c r="AI11" s="2">
        <f t="shared" si="9"/>
        <v>10</v>
      </c>
      <c r="AJ11" s="2">
        <f t="shared" si="9"/>
        <v>8</v>
      </c>
      <c r="AK11" s="2">
        <f t="shared" si="9"/>
        <v>7</v>
      </c>
      <c r="AL11" s="2">
        <f t="shared" si="9"/>
        <v>5</v>
      </c>
      <c r="AM11" s="2">
        <f t="shared" si="9"/>
        <v>4</v>
      </c>
      <c r="AN11" s="2">
        <f t="shared" si="9"/>
        <v>22</v>
      </c>
      <c r="AO11" s="2">
        <f t="shared" si="9"/>
        <v>1</v>
      </c>
      <c r="AP11" s="2">
        <f t="shared" si="9"/>
        <v>3</v>
      </c>
      <c r="AQ11" s="2">
        <f t="shared" si="9"/>
        <v>2</v>
      </c>
      <c r="AR11" s="2">
        <f t="shared" si="9"/>
        <v>23</v>
      </c>
      <c r="AS11" s="2">
        <f t="shared" si="9"/>
        <v>12</v>
      </c>
      <c r="AT11" s="2">
        <f t="shared" si="9"/>
        <v>12</v>
      </c>
      <c r="AU11" s="2">
        <f t="shared" si="10"/>
        <v>12</v>
      </c>
      <c r="AV11" s="2">
        <f t="shared" si="10"/>
        <v>12</v>
      </c>
      <c r="AW11" s="2">
        <f t="shared" si="10"/>
        <v>12</v>
      </c>
      <c r="AX11" s="2">
        <f t="shared" si="10"/>
        <v>12</v>
      </c>
      <c r="AY11" s="2">
        <f t="shared" si="10"/>
        <v>12</v>
      </c>
      <c r="AZ11" s="2">
        <f t="shared" si="10"/>
        <v>12</v>
      </c>
      <c r="BA11" s="2">
        <f t="shared" si="10"/>
        <v>12</v>
      </c>
      <c r="BC11" s="2">
        <f t="shared" si="11"/>
        <v>42</v>
      </c>
      <c r="BD11" s="2">
        <v>-3</v>
      </c>
      <c r="BE11" s="2">
        <f t="shared" si="11"/>
        <v>30</v>
      </c>
      <c r="BF11" s="2">
        <f t="shared" si="11"/>
        <v>87</v>
      </c>
      <c r="BG11" s="2">
        <f t="shared" si="11"/>
        <v>31</v>
      </c>
      <c r="BH11" s="2">
        <f t="shared" si="11"/>
        <v>58</v>
      </c>
      <c r="BI11" s="2">
        <f t="shared" si="11"/>
        <v>82</v>
      </c>
      <c r="BJ11" s="2">
        <f t="shared" si="11"/>
        <v>173</v>
      </c>
      <c r="BK11" s="2">
        <f t="shared" si="11"/>
        <v>238</v>
      </c>
      <c r="BL11" s="2">
        <v>-41</v>
      </c>
      <c r="BM11" s="2">
        <f t="shared" si="11"/>
        <v>517</v>
      </c>
      <c r="BN11" s="2">
        <f t="shared" si="11"/>
        <v>259</v>
      </c>
      <c r="BO11" s="2">
        <f t="shared" si="11"/>
        <v>387</v>
      </c>
      <c r="BP11" s="2">
        <v>-67</v>
      </c>
      <c r="BQ11" s="2" t="str">
        <f t="shared" si="11"/>
        <v/>
      </c>
      <c r="BR11" s="2" t="str">
        <f t="shared" si="11"/>
        <v/>
      </c>
      <c r="BS11" s="2" t="str">
        <f t="shared" si="12"/>
        <v/>
      </c>
      <c r="BT11" s="2" t="str">
        <f t="shared" si="12"/>
        <v/>
      </c>
      <c r="BU11" s="2" t="str">
        <f t="shared" si="12"/>
        <v/>
      </c>
      <c r="BV11" s="2" t="str">
        <f t="shared" si="12"/>
        <v/>
      </c>
      <c r="BZ11" s="2">
        <f>BC11</f>
        <v>42</v>
      </c>
      <c r="CA11" s="2">
        <f>BE11</f>
        <v>30</v>
      </c>
      <c r="CB11" s="2">
        <f t="shared" ref="CB11:CG12" si="26">BF11</f>
        <v>87</v>
      </c>
      <c r="CC11" s="2">
        <f t="shared" si="26"/>
        <v>31</v>
      </c>
      <c r="CD11" s="2">
        <f t="shared" si="26"/>
        <v>58</v>
      </c>
      <c r="CE11" s="2">
        <f t="shared" si="26"/>
        <v>82</v>
      </c>
      <c r="CF11" s="2">
        <f t="shared" si="26"/>
        <v>173</v>
      </c>
      <c r="CG11" s="2">
        <f t="shared" si="26"/>
        <v>238</v>
      </c>
      <c r="CH11" s="2">
        <f>BM11</f>
        <v>517</v>
      </c>
      <c r="CI11" s="2">
        <f>BN11</f>
        <v>259</v>
      </c>
      <c r="CJ11" s="2">
        <f>BO11</f>
        <v>387</v>
      </c>
      <c r="CK11" s="2">
        <f>BD11</f>
        <v>-3</v>
      </c>
      <c r="CL11" s="2">
        <f>BL11</f>
        <v>-41</v>
      </c>
      <c r="CM11" s="2">
        <f>BP11</f>
        <v>-67</v>
      </c>
      <c r="CO11" s="2" t="str">
        <f t="shared" si="14"/>
        <v>Wawrinka</v>
      </c>
      <c r="CP11" s="4">
        <f t="shared" si="23"/>
        <v>34.227882755363581</v>
      </c>
      <c r="CQ11" s="4">
        <f>CA11+$DG11</f>
        <v>22.227882755363577</v>
      </c>
      <c r="CR11" s="4">
        <f>CA11+$DG11</f>
        <v>22.227882755363577</v>
      </c>
      <c r="CS11" s="4">
        <f t="shared" si="19"/>
        <v>23.227882755363577</v>
      </c>
      <c r="CT11" s="4">
        <f t="shared" si="19"/>
        <v>50.227882755363581</v>
      </c>
      <c r="CU11" s="4">
        <f t="shared" si="19"/>
        <v>74.227882755363581</v>
      </c>
      <c r="CV11" s="4">
        <f t="shared" si="19"/>
        <v>165.22788275536357</v>
      </c>
      <c r="CW11" s="4">
        <f t="shared" si="19"/>
        <v>230.22788275536357</v>
      </c>
      <c r="CX11" s="4">
        <f>CH11+$DG11</f>
        <v>509.22788275536357</v>
      </c>
      <c r="CY11" s="4">
        <f>CH11+$DG11</f>
        <v>509.22788275536357</v>
      </c>
      <c r="CZ11" s="4">
        <f>CJ11+$DG11</f>
        <v>379.22788275536357</v>
      </c>
      <c r="DA11" s="4">
        <f t="shared" ref="DA11:DC11" si="27">CK11+$DG11</f>
        <v>-10.772117244636423</v>
      </c>
      <c r="DB11" s="4">
        <f t="shared" si="27"/>
        <v>-48.772117244636419</v>
      </c>
      <c r="DC11" s="4">
        <f t="shared" si="27"/>
        <v>-74.772117244636419</v>
      </c>
      <c r="DD11" s="4"/>
      <c r="DE11" s="2">
        <f>VLOOKUP(B11,[1]Ranking!$C$3:$BM$19, 34, FALSE)</f>
        <v>53</v>
      </c>
      <c r="DF11" s="4">
        <f>VLOOKUP(B11,[1]Ranking!$C$3:$BM$19, 63, FALSE)</f>
        <v>-411.92221396573041</v>
      </c>
      <c r="DG11" s="4">
        <f t="shared" si="16"/>
        <v>-7.7721172446364228</v>
      </c>
    </row>
    <row r="12" spans="1:111" x14ac:dyDescent="0.3">
      <c r="A12" s="2">
        <v>10</v>
      </c>
      <c r="B12" s="2" t="str">
        <f>VLOOKUP(A12,[1]Ranking!$X$3:$AA$19, 4, FALSE)</f>
        <v>Courier</v>
      </c>
      <c r="C12" s="2" t="s">
        <v>14</v>
      </c>
      <c r="D12" s="3">
        <f t="shared" ca="1" si="7"/>
        <v>0.87437416031804205</v>
      </c>
      <c r="E12" s="2">
        <f t="shared" ca="1" si="8"/>
        <v>1</v>
      </c>
      <c r="F12" s="2" t="str">
        <f t="shared" si="17"/>
        <v>Courier</v>
      </c>
      <c r="G12" s="2">
        <f>VLOOKUP($C12,[1]Data!$C$3:$Z$86,G$1, FALSE)</f>
        <v>0</v>
      </c>
      <c r="H12" s="2">
        <f>VLOOKUP($C12,[1]Data!$C$3:$Z$86,H$1, FALSE)</f>
        <v>70</v>
      </c>
      <c r="I12" s="2">
        <f>VLOOKUP($C12,[1]Data!$C$3:$Z$86,I$1, FALSE)</f>
        <v>32</v>
      </c>
      <c r="J12" s="2">
        <f>VLOOKUP($C12,[1]Data!$C$3:$Z$86,J$1, FALSE)</f>
        <v>485</v>
      </c>
      <c r="K12" s="2">
        <f>VLOOKUP($C12,[1]Data!$C$3:$Z$86,K$1, FALSE)</f>
        <v>486</v>
      </c>
      <c r="L12" s="2">
        <f>VLOOKUP($C12,[1]Data!$C$3:$Z$86,L$1, FALSE)</f>
        <v>341</v>
      </c>
      <c r="M12" s="2">
        <f>VLOOKUP($C12,[1]Data!$C$3:$Z$86,M$1, FALSE)</f>
        <v>221</v>
      </c>
      <c r="N12" s="2">
        <f>VLOOKUP($C12,[1]Data!$C$3:$Z$86,N$1, FALSE)</f>
        <v>55</v>
      </c>
      <c r="O12" s="2">
        <f>VLOOKUP($C12,[1]Data!$C$3:$Z$86,O$1, FALSE)</f>
        <v>118</v>
      </c>
      <c r="P12" s="2">
        <f>VLOOKUP($C12,[1]Data!$C$3:$Z$86,P$1, FALSE)</f>
        <v>-39</v>
      </c>
      <c r="Q12" s="2">
        <f>VLOOKUP($C12,[1]Data!$C$3:$Z$86,Q$1, FALSE)</f>
        <v>-42</v>
      </c>
      <c r="R12" s="2">
        <f>VLOOKUP($C12,[1]Data!$C$3:$Z$86,R$1, FALSE)</f>
        <v>-35</v>
      </c>
      <c r="S12" s="2">
        <f>VLOOKUP($C12,[1]Data!$C$3:$Z$86,S$1, FALSE)</f>
        <v>0</v>
      </c>
      <c r="T12" s="2">
        <f>VLOOKUP($C12,[1]Data!$C$3:$Z$86,T$1, FALSE)</f>
        <v>0</v>
      </c>
      <c r="U12" s="2">
        <f>VLOOKUP($C12,[1]Data!$C$3:$Z$86,U$1, FALSE)</f>
        <v>0</v>
      </c>
      <c r="V12" s="2">
        <f>VLOOKUP($C12,[1]Data!$C$3:$Z$86,V$1, FALSE)</f>
        <v>0</v>
      </c>
      <c r="W12" s="2">
        <f>VLOOKUP($C12,[1]Data!$C$3:$Z$86,W$1, FALSE)</f>
        <v>0</v>
      </c>
      <c r="X12" s="2">
        <f>VLOOKUP($C12,[1]Data!$C$3:$Z$86,X$1, FALSE)</f>
        <v>0</v>
      </c>
      <c r="Y12" s="2">
        <f>VLOOKUP($C12,[1]Data!$C$3:$Z$86,Y$1, FALSE)</f>
        <v>0</v>
      </c>
      <c r="Z12" s="2">
        <f>VLOOKUP($C12,[1]Data!$C$3:$Z$86,Z$1, FALSE)</f>
        <v>0</v>
      </c>
      <c r="AA12" s="2">
        <f>VLOOKUP($C12,[1]Data!$C$3:$Z$86,AA$1, FALSE)</f>
        <v>0</v>
      </c>
      <c r="AB12" s="2">
        <f>VLOOKUP($C12,[1]Data!$C$3:$Z$86,AB$1, FALSE)</f>
        <v>0</v>
      </c>
      <c r="AC12" s="2">
        <f>VLOOKUP($C12,[1]Data!$C$3:$Z$86,AC$1, FALSE)</f>
        <v>0</v>
      </c>
      <c r="AE12" s="2">
        <f t="shared" si="9"/>
        <v>9</v>
      </c>
      <c r="AF12" s="2">
        <f t="shared" si="9"/>
        <v>6</v>
      </c>
      <c r="AG12" s="2">
        <f t="shared" si="9"/>
        <v>8</v>
      </c>
      <c r="AH12" s="2">
        <f t="shared" si="9"/>
        <v>2</v>
      </c>
      <c r="AI12" s="2">
        <f t="shared" si="9"/>
        <v>1</v>
      </c>
      <c r="AJ12" s="2">
        <f t="shared" si="9"/>
        <v>3</v>
      </c>
      <c r="AK12" s="2">
        <f t="shared" si="9"/>
        <v>4</v>
      </c>
      <c r="AL12" s="2">
        <f t="shared" si="9"/>
        <v>7</v>
      </c>
      <c r="AM12" s="2">
        <f t="shared" si="9"/>
        <v>5</v>
      </c>
      <c r="AN12" s="2">
        <f t="shared" si="9"/>
        <v>22</v>
      </c>
      <c r="AO12" s="2">
        <f t="shared" si="9"/>
        <v>23</v>
      </c>
      <c r="AP12" s="2">
        <f t="shared" si="9"/>
        <v>21</v>
      </c>
      <c r="AQ12" s="2">
        <f t="shared" si="9"/>
        <v>9</v>
      </c>
      <c r="AR12" s="2">
        <f t="shared" si="9"/>
        <v>9</v>
      </c>
      <c r="AS12" s="2">
        <f t="shared" si="9"/>
        <v>9</v>
      </c>
      <c r="AT12" s="2">
        <f t="shared" si="9"/>
        <v>9</v>
      </c>
      <c r="AU12" s="2">
        <f t="shared" si="10"/>
        <v>9</v>
      </c>
      <c r="AV12" s="2">
        <f t="shared" si="10"/>
        <v>9</v>
      </c>
      <c r="AW12" s="2">
        <f t="shared" si="10"/>
        <v>9</v>
      </c>
      <c r="AX12" s="2">
        <f t="shared" si="10"/>
        <v>9</v>
      </c>
      <c r="AY12" s="2">
        <f t="shared" si="10"/>
        <v>9</v>
      </c>
      <c r="AZ12" s="2">
        <f t="shared" si="10"/>
        <v>9</v>
      </c>
      <c r="BA12" s="2">
        <f t="shared" si="10"/>
        <v>9</v>
      </c>
      <c r="BC12" s="2" t="str">
        <f t="shared" si="11"/>
        <v/>
      </c>
      <c r="BD12" s="2">
        <f t="shared" si="11"/>
        <v>70</v>
      </c>
      <c r="BE12" s="2">
        <f t="shared" si="11"/>
        <v>32</v>
      </c>
      <c r="BF12" s="2">
        <f t="shared" si="11"/>
        <v>485</v>
      </c>
      <c r="BG12" s="2">
        <f t="shared" si="11"/>
        <v>486</v>
      </c>
      <c r="BH12" s="2">
        <f t="shared" si="11"/>
        <v>341</v>
      </c>
      <c r="BI12" s="2">
        <f t="shared" si="11"/>
        <v>221</v>
      </c>
      <c r="BJ12" s="2">
        <f t="shared" si="11"/>
        <v>55</v>
      </c>
      <c r="BK12" s="2">
        <f t="shared" si="11"/>
        <v>118</v>
      </c>
      <c r="BL12" s="2">
        <v>-39</v>
      </c>
      <c r="BM12" s="2">
        <v>-42</v>
      </c>
      <c r="BN12" s="2">
        <v>-35</v>
      </c>
      <c r="BO12" s="2" t="str">
        <f t="shared" si="11"/>
        <v/>
      </c>
      <c r="BP12" s="2" t="str">
        <f t="shared" si="11"/>
        <v/>
      </c>
      <c r="BQ12" s="2" t="str">
        <f t="shared" si="11"/>
        <v/>
      </c>
      <c r="BR12" s="2" t="str">
        <f t="shared" si="11"/>
        <v/>
      </c>
      <c r="BS12" s="2" t="str">
        <f t="shared" si="12"/>
        <v/>
      </c>
      <c r="BT12" s="2" t="str">
        <f t="shared" si="12"/>
        <v/>
      </c>
      <c r="BU12" s="2" t="str">
        <f t="shared" si="12"/>
        <v/>
      </c>
      <c r="BV12" s="2" t="str">
        <f t="shared" si="12"/>
        <v/>
      </c>
      <c r="BZ12" s="2">
        <f>BD12</f>
        <v>70</v>
      </c>
      <c r="CA12" s="2">
        <f t="shared" ref="CA12" si="28">BE12</f>
        <v>32</v>
      </c>
      <c r="CB12" s="2">
        <f t="shared" si="26"/>
        <v>485</v>
      </c>
      <c r="CC12" s="2">
        <f t="shared" si="26"/>
        <v>486</v>
      </c>
      <c r="CD12" s="2">
        <f t="shared" si="26"/>
        <v>341</v>
      </c>
      <c r="CE12" s="2">
        <f t="shared" si="26"/>
        <v>221</v>
      </c>
      <c r="CF12" s="2">
        <f t="shared" si="26"/>
        <v>55</v>
      </c>
      <c r="CG12" s="2">
        <f t="shared" si="26"/>
        <v>118</v>
      </c>
      <c r="CH12" s="2">
        <f>BL12</f>
        <v>-39</v>
      </c>
      <c r="CI12" s="2">
        <f>BM12</f>
        <v>-42</v>
      </c>
      <c r="CJ12" s="2">
        <f>BN12</f>
        <v>-35</v>
      </c>
      <c r="CO12" s="2" t="str">
        <f t="shared" si="14"/>
        <v>Courier</v>
      </c>
      <c r="CP12" s="4">
        <f t="shared" si="23"/>
        <v>81.16221792201388</v>
      </c>
      <c r="CQ12" s="4">
        <f t="shared" si="19"/>
        <v>43.162217922013888</v>
      </c>
      <c r="CR12" s="4">
        <f t="shared" si="19"/>
        <v>496.16221792201389</v>
      </c>
      <c r="CS12" s="4">
        <f t="shared" si="19"/>
        <v>497.16221792201389</v>
      </c>
      <c r="CT12" s="4">
        <f t="shared" si="19"/>
        <v>352.16221792201389</v>
      </c>
      <c r="CU12" s="4">
        <f t="shared" si="19"/>
        <v>232.16221792201389</v>
      </c>
      <c r="CV12" s="4">
        <f t="shared" si="19"/>
        <v>66.16221792201388</v>
      </c>
      <c r="CW12" s="4">
        <f t="shared" si="19"/>
        <v>129.16221792201389</v>
      </c>
      <c r="CX12" s="4">
        <f t="shared" si="19"/>
        <v>-27.837782077986112</v>
      </c>
      <c r="CY12" s="4">
        <f t="shared" si="19"/>
        <v>-30.837782077986112</v>
      </c>
      <c r="CZ12" s="4">
        <f t="shared" si="19"/>
        <v>-23.837782077986112</v>
      </c>
      <c r="DA12" s="4"/>
      <c r="DB12" s="4"/>
      <c r="DC12" s="4"/>
      <c r="DD12" s="4"/>
      <c r="DE12" s="2">
        <f>VLOOKUP(B12,[1]Ranking!$C$3:$BM$19, 34, FALSE)</f>
        <v>42</v>
      </c>
      <c r="DF12" s="4">
        <f>VLOOKUP(B12,[1]Ranking!$C$3:$BM$19, 63, FALSE)</f>
        <v>468.81315272458323</v>
      </c>
      <c r="DG12" s="4">
        <f t="shared" si="16"/>
        <v>11.162217922013886</v>
      </c>
    </row>
    <row r="13" spans="1:111" x14ac:dyDescent="0.3">
      <c r="A13" s="2">
        <v>11</v>
      </c>
      <c r="B13" s="2" t="str">
        <f>VLOOKUP(A13,[1]Ranking!$X$3:$AA$19, 4, FALSE)</f>
        <v>Kuerten</v>
      </c>
      <c r="C13" s="2" t="s">
        <v>15</v>
      </c>
      <c r="D13" s="3">
        <f t="shared" ca="1" si="7"/>
        <v>0.7043667718318446</v>
      </c>
      <c r="E13" s="2">
        <f t="shared" ca="1" si="8"/>
        <v>5</v>
      </c>
      <c r="F13" s="2" t="str">
        <f t="shared" si="17"/>
        <v>Kuerten</v>
      </c>
      <c r="G13" s="2">
        <f>VLOOKUP($C13,[1]Data!$C$3:$Z$86,G$1, FALSE)</f>
        <v>-10</v>
      </c>
      <c r="H13" s="2">
        <f>VLOOKUP($C13,[1]Data!$C$3:$Z$86,H$1, FALSE)</f>
        <v>511</v>
      </c>
      <c r="I13" s="2">
        <f>VLOOKUP($C13,[1]Data!$C$3:$Z$86,I$1, FALSE)</f>
        <v>-98</v>
      </c>
      <c r="J13" s="2">
        <f>VLOOKUP($C13,[1]Data!$C$3:$Z$86,J$1, FALSE)</f>
        <v>26</v>
      </c>
      <c r="K13" s="2">
        <f>VLOOKUP($C13,[1]Data!$C$3:$Z$86,K$1, FALSE)</f>
        <v>531</v>
      </c>
      <c r="L13" s="2">
        <f>VLOOKUP($C13,[1]Data!$C$3:$Z$86,L$1, FALSE)</f>
        <v>429</v>
      </c>
      <c r="M13" s="2">
        <f>VLOOKUP($C13,[1]Data!$C$3:$Z$86,M$1, FALSE)</f>
        <v>90</v>
      </c>
      <c r="N13" s="2">
        <f>VLOOKUP($C13,[1]Data!$C$3:$Z$86,N$1, FALSE)</f>
        <v>61</v>
      </c>
      <c r="O13" s="2">
        <f>VLOOKUP($C13,[1]Data!$C$3:$Z$86,O$1, FALSE)</f>
        <v>180</v>
      </c>
      <c r="P13" s="2">
        <f>VLOOKUP($C13,[1]Data!$C$3:$Z$86,P$1, FALSE)</f>
        <v>-99</v>
      </c>
      <c r="Q13" s="2">
        <f>VLOOKUP($C13,[1]Data!$C$3:$Z$86,Q$1, FALSE)</f>
        <v>0</v>
      </c>
      <c r="R13" s="2">
        <f>VLOOKUP($C13,[1]Data!$C$3:$Z$86,R$1, FALSE)</f>
        <v>0</v>
      </c>
      <c r="S13" s="2">
        <f>VLOOKUP($C13,[1]Data!$C$3:$Z$86,S$1, FALSE)</f>
        <v>-18</v>
      </c>
      <c r="T13" s="2">
        <f>VLOOKUP($C13,[1]Data!$C$3:$Z$86,T$1, FALSE)</f>
        <v>0</v>
      </c>
      <c r="U13" s="2">
        <f>VLOOKUP($C13,[1]Data!$C$3:$Z$86,U$1, FALSE)</f>
        <v>0</v>
      </c>
      <c r="V13" s="2">
        <f>VLOOKUP($C13,[1]Data!$C$3:$Z$86,V$1, FALSE)</f>
        <v>0</v>
      </c>
      <c r="W13" s="2">
        <f>VLOOKUP($C13,[1]Data!$C$3:$Z$86,W$1, FALSE)</f>
        <v>0</v>
      </c>
      <c r="X13" s="2">
        <f>VLOOKUP($C13,[1]Data!$C$3:$Z$86,X$1, FALSE)</f>
        <v>0</v>
      </c>
      <c r="Y13" s="2">
        <f>VLOOKUP($C13,[1]Data!$C$3:$Z$86,Y$1, FALSE)</f>
        <v>0</v>
      </c>
      <c r="Z13" s="2">
        <f>VLOOKUP($C13,[1]Data!$C$3:$Z$86,Z$1, FALSE)</f>
        <v>0</v>
      </c>
      <c r="AA13" s="2">
        <f>VLOOKUP($C13,[1]Data!$C$3:$Z$86,AA$1, FALSE)</f>
        <v>0</v>
      </c>
      <c r="AB13" s="2">
        <f>VLOOKUP($C13,[1]Data!$C$3:$Z$86,AB$1, FALSE)</f>
        <v>0</v>
      </c>
      <c r="AC13" s="2">
        <f>VLOOKUP($C13,[1]Data!$C$3:$Z$86,AC$1, FALSE)</f>
        <v>0</v>
      </c>
      <c r="AE13" s="2">
        <f t="shared" si="9"/>
        <v>20</v>
      </c>
      <c r="AF13" s="2">
        <f t="shared" si="9"/>
        <v>2</v>
      </c>
      <c r="AG13" s="2">
        <f t="shared" si="9"/>
        <v>22</v>
      </c>
      <c r="AH13" s="2">
        <f t="shared" si="9"/>
        <v>7</v>
      </c>
      <c r="AI13" s="2">
        <f t="shared" si="9"/>
        <v>1</v>
      </c>
      <c r="AJ13" s="2">
        <f t="shared" si="9"/>
        <v>3</v>
      </c>
      <c r="AK13" s="2">
        <f t="shared" si="9"/>
        <v>5</v>
      </c>
      <c r="AL13" s="2">
        <f t="shared" si="9"/>
        <v>6</v>
      </c>
      <c r="AM13" s="2">
        <f t="shared" si="9"/>
        <v>4</v>
      </c>
      <c r="AN13" s="2">
        <f t="shared" si="9"/>
        <v>23</v>
      </c>
      <c r="AO13" s="2">
        <f t="shared" si="9"/>
        <v>8</v>
      </c>
      <c r="AP13" s="2">
        <f t="shared" si="9"/>
        <v>8</v>
      </c>
      <c r="AQ13" s="2">
        <f t="shared" si="9"/>
        <v>21</v>
      </c>
      <c r="AR13" s="2">
        <f t="shared" si="9"/>
        <v>8</v>
      </c>
      <c r="AS13" s="2">
        <f t="shared" si="9"/>
        <v>8</v>
      </c>
      <c r="AT13" s="2">
        <f t="shared" si="9"/>
        <v>8</v>
      </c>
      <c r="AU13" s="2">
        <f t="shared" si="10"/>
        <v>8</v>
      </c>
      <c r="AV13" s="2">
        <f t="shared" si="10"/>
        <v>8</v>
      </c>
      <c r="AW13" s="2">
        <f t="shared" si="10"/>
        <v>8</v>
      </c>
      <c r="AX13" s="2">
        <f t="shared" si="10"/>
        <v>8</v>
      </c>
      <c r="AY13" s="2">
        <f t="shared" si="10"/>
        <v>8</v>
      </c>
      <c r="AZ13" s="2">
        <f t="shared" si="10"/>
        <v>8</v>
      </c>
      <c r="BA13" s="2">
        <f t="shared" si="10"/>
        <v>8</v>
      </c>
      <c r="BC13" s="2">
        <v>-10</v>
      </c>
      <c r="BD13" s="2">
        <f t="shared" si="11"/>
        <v>511</v>
      </c>
      <c r="BE13" s="2">
        <v>-98</v>
      </c>
      <c r="BF13" s="2">
        <f t="shared" si="11"/>
        <v>26</v>
      </c>
      <c r="BG13" s="2">
        <f t="shared" si="11"/>
        <v>531</v>
      </c>
      <c r="BH13" s="2">
        <f t="shared" si="11"/>
        <v>429</v>
      </c>
      <c r="BI13" s="2">
        <f t="shared" si="11"/>
        <v>90</v>
      </c>
      <c r="BJ13" s="2">
        <f t="shared" si="11"/>
        <v>61</v>
      </c>
      <c r="BK13" s="2">
        <f t="shared" si="11"/>
        <v>180</v>
      </c>
      <c r="BL13" s="2">
        <v>-99</v>
      </c>
      <c r="BM13" s="2" t="str">
        <f t="shared" si="11"/>
        <v/>
      </c>
      <c r="BN13" s="2" t="str">
        <f t="shared" si="11"/>
        <v/>
      </c>
      <c r="BO13" s="2">
        <v>-18</v>
      </c>
      <c r="BP13" s="2" t="str">
        <f t="shared" si="11"/>
        <v/>
      </c>
      <c r="BQ13" s="2" t="str">
        <f t="shared" si="11"/>
        <v/>
      </c>
      <c r="BR13" s="2" t="str">
        <f t="shared" si="11"/>
        <v/>
      </c>
      <c r="BS13" s="2" t="str">
        <f t="shared" si="12"/>
        <v/>
      </c>
      <c r="BT13" s="2" t="str">
        <f t="shared" si="12"/>
        <v/>
      </c>
      <c r="BU13" s="2" t="str">
        <f t="shared" si="12"/>
        <v/>
      </c>
      <c r="BV13" s="2" t="str">
        <f t="shared" si="12"/>
        <v/>
      </c>
      <c r="BZ13" s="2">
        <f>BD13</f>
        <v>511</v>
      </c>
      <c r="CA13" s="2">
        <f>BF13</f>
        <v>26</v>
      </c>
      <c r="CB13" s="2">
        <f t="shared" ref="CB13:CF14" si="29">BG13</f>
        <v>531</v>
      </c>
      <c r="CC13" s="2">
        <f t="shared" si="29"/>
        <v>429</v>
      </c>
      <c r="CD13" s="2">
        <f t="shared" si="29"/>
        <v>90</v>
      </c>
      <c r="CE13" s="2">
        <f t="shared" si="29"/>
        <v>61</v>
      </c>
      <c r="CF13" s="2">
        <f t="shared" si="29"/>
        <v>180</v>
      </c>
      <c r="CG13" s="2">
        <f>BC13</f>
        <v>-10</v>
      </c>
      <c r="CH13" s="2">
        <f>BE13</f>
        <v>-98</v>
      </c>
      <c r="CI13" s="2">
        <f>BL13</f>
        <v>-99</v>
      </c>
      <c r="CJ13" s="2">
        <f>BO13</f>
        <v>-18</v>
      </c>
      <c r="CO13" s="2" t="str">
        <f t="shared" si="14"/>
        <v>Kuerten</v>
      </c>
      <c r="CP13" s="4">
        <f t="shared" si="23"/>
        <v>514.12946966949562</v>
      </c>
      <c r="CQ13" s="4">
        <f>CA13+$DG13</f>
        <v>29.129469669495577</v>
      </c>
      <c r="CR13" s="4">
        <f>CA13+$DG13</f>
        <v>29.129469669495577</v>
      </c>
      <c r="CS13" s="4">
        <f t="shared" si="19"/>
        <v>432.12946966949556</v>
      </c>
      <c r="CT13" s="4">
        <f t="shared" si="19"/>
        <v>93.129469669495577</v>
      </c>
      <c r="CU13" s="4">
        <f t="shared" si="19"/>
        <v>64.129469669495577</v>
      </c>
      <c r="CV13" s="4">
        <f t="shared" si="19"/>
        <v>183.12946966949559</v>
      </c>
      <c r="CW13" s="4">
        <f t="shared" si="19"/>
        <v>-6.8705303305044207</v>
      </c>
      <c r="CX13" s="4">
        <f t="shared" si="19"/>
        <v>-94.870530330504423</v>
      </c>
      <c r="CY13" s="4">
        <f t="shared" si="19"/>
        <v>-95.870530330504423</v>
      </c>
      <c r="CZ13" s="4">
        <f t="shared" si="19"/>
        <v>-14.870530330504421</v>
      </c>
      <c r="DA13" s="4"/>
      <c r="DB13" s="4"/>
      <c r="DC13" s="4"/>
      <c r="DD13" s="4"/>
      <c r="DE13" s="2">
        <f>VLOOKUP(B13,[1]Ranking!$C$3:$BM$19, 34, FALSE)</f>
        <v>33</v>
      </c>
      <c r="DF13" s="4">
        <f>VLOOKUP(B13,[1]Ranking!$C$3:$BM$19, 63, FALSE)</f>
        <v>103.2724990933541</v>
      </c>
      <c r="DG13" s="4">
        <f t="shared" si="16"/>
        <v>3.1294696694955788</v>
      </c>
    </row>
    <row r="14" spans="1:111" x14ac:dyDescent="0.3">
      <c r="A14" s="2">
        <v>12</v>
      </c>
      <c r="B14" s="2" t="str">
        <f>VLOOKUP(A14,[1]Ranking!$X$3:$AA$19, 4, FALSE)</f>
        <v>Agassi</v>
      </c>
      <c r="C14" s="2" t="s">
        <v>16</v>
      </c>
      <c r="D14" s="3">
        <f t="shared" ca="1" si="7"/>
        <v>0.81775908649936313</v>
      </c>
      <c r="E14" s="2">
        <f t="shared" ca="1" si="8"/>
        <v>3</v>
      </c>
      <c r="F14" s="2" t="str">
        <f t="shared" si="17"/>
        <v>Agassi</v>
      </c>
      <c r="G14" s="2">
        <f>VLOOKUP($C14,[1]Data!$C$3:$Z$86,G$1, FALSE)</f>
        <v>0</v>
      </c>
      <c r="H14" s="2">
        <f>VLOOKUP($C14,[1]Data!$C$3:$Z$86,H$1, FALSE)</f>
        <v>-91</v>
      </c>
      <c r="I14" s="2">
        <f>VLOOKUP($C14,[1]Data!$C$3:$Z$86,I$1, FALSE)</f>
        <v>180</v>
      </c>
      <c r="J14" s="2">
        <f>VLOOKUP($C14,[1]Data!$C$3:$Z$86,J$1, FALSE)</f>
        <v>12</v>
      </c>
      <c r="K14" s="2">
        <f>VLOOKUP($C14,[1]Data!$C$3:$Z$86,K$1, FALSE)</f>
        <v>281</v>
      </c>
      <c r="L14" s="2">
        <f>VLOOKUP($C14,[1]Data!$C$3:$Z$86,L$1, FALSE)</f>
        <v>354</v>
      </c>
      <c r="M14" s="2">
        <f>VLOOKUP($C14,[1]Data!$C$3:$Z$86,M$1, FALSE)</f>
        <v>309</v>
      </c>
      <c r="N14" s="2">
        <f>VLOOKUP($C14,[1]Data!$C$3:$Z$86,N$1, FALSE)</f>
        <v>0</v>
      </c>
      <c r="O14" s="2">
        <f>VLOOKUP($C14,[1]Data!$C$3:$Z$86,O$1, FALSE)</f>
        <v>-10</v>
      </c>
      <c r="P14" s="2">
        <f>VLOOKUP($C14,[1]Data!$C$3:$Z$86,P$1, FALSE)</f>
        <v>129</v>
      </c>
      <c r="Q14" s="2">
        <f>VLOOKUP($C14,[1]Data!$C$3:$Z$86,Q$1, FALSE)</f>
        <v>-71</v>
      </c>
      <c r="R14" s="2">
        <f>VLOOKUP($C14,[1]Data!$C$3:$Z$86,R$1, FALSE)</f>
        <v>0</v>
      </c>
      <c r="S14" s="2">
        <f>VLOOKUP($C14,[1]Data!$C$3:$Z$86,S$1, FALSE)</f>
        <v>-99</v>
      </c>
      <c r="T14" s="2">
        <f>VLOOKUP($C14,[1]Data!$C$3:$Z$86,T$1, FALSE)</f>
        <v>300</v>
      </c>
      <c r="U14" s="2">
        <f>VLOOKUP($C14,[1]Data!$C$3:$Z$86,U$1, FALSE)</f>
        <v>-39</v>
      </c>
      <c r="V14" s="2">
        <f>VLOOKUP($C14,[1]Data!$C$3:$Z$86,V$1, FALSE)</f>
        <v>192</v>
      </c>
      <c r="W14" s="2">
        <f>VLOOKUP($C14,[1]Data!$C$3:$Z$86,W$1, FALSE)</f>
        <v>112</v>
      </c>
      <c r="X14" s="2">
        <f>VLOOKUP($C14,[1]Data!$C$3:$Z$86,X$1, FALSE)</f>
        <v>152</v>
      </c>
      <c r="Y14" s="2">
        <f>VLOOKUP($C14,[1]Data!$C$3:$Z$86,Y$1, FALSE)</f>
        <v>-99</v>
      </c>
      <c r="Z14" s="2">
        <f>VLOOKUP($C14,[1]Data!$C$3:$Z$86,Z$1, FALSE)</f>
        <v>-95</v>
      </c>
      <c r="AA14" s="2">
        <f>VLOOKUP($C14,[1]Data!$C$3:$Z$86,AA$1, FALSE)</f>
        <v>0</v>
      </c>
      <c r="AB14" s="2">
        <f>VLOOKUP($C14,[1]Data!$C$3:$Z$86,AB$1, FALSE)</f>
        <v>0</v>
      </c>
      <c r="AC14" s="2">
        <f>VLOOKUP($C14,[1]Data!$C$3:$Z$86,AC$1, FALSE)</f>
        <v>0</v>
      </c>
      <c r="AE14" s="2">
        <f t="shared" si="9"/>
        <v>11</v>
      </c>
      <c r="AF14" s="2">
        <f t="shared" si="9"/>
        <v>20</v>
      </c>
      <c r="AG14" s="2">
        <f t="shared" si="9"/>
        <v>6</v>
      </c>
      <c r="AH14" s="2">
        <f t="shared" si="9"/>
        <v>10</v>
      </c>
      <c r="AI14" s="2">
        <f t="shared" si="9"/>
        <v>4</v>
      </c>
      <c r="AJ14" s="2">
        <f t="shared" si="9"/>
        <v>1</v>
      </c>
      <c r="AK14" s="2">
        <f t="shared" si="9"/>
        <v>2</v>
      </c>
      <c r="AL14" s="2">
        <f t="shared" si="9"/>
        <v>11</v>
      </c>
      <c r="AM14" s="2">
        <f t="shared" si="9"/>
        <v>17</v>
      </c>
      <c r="AN14" s="2">
        <f t="shared" si="9"/>
        <v>8</v>
      </c>
      <c r="AO14" s="2">
        <f t="shared" si="9"/>
        <v>19</v>
      </c>
      <c r="AP14" s="2">
        <f t="shared" si="9"/>
        <v>11</v>
      </c>
      <c r="AQ14" s="2">
        <f t="shared" si="9"/>
        <v>22</v>
      </c>
      <c r="AR14" s="2">
        <f t="shared" si="9"/>
        <v>3</v>
      </c>
      <c r="AS14" s="2">
        <f t="shared" si="9"/>
        <v>18</v>
      </c>
      <c r="AT14" s="2">
        <f t="shared" si="9"/>
        <v>5</v>
      </c>
      <c r="AU14" s="2">
        <f t="shared" si="10"/>
        <v>9</v>
      </c>
      <c r="AV14" s="2">
        <f t="shared" si="10"/>
        <v>7</v>
      </c>
      <c r="AW14" s="2">
        <f t="shared" si="10"/>
        <v>22</v>
      </c>
      <c r="AX14" s="2">
        <f t="shared" si="10"/>
        <v>21</v>
      </c>
      <c r="AY14" s="2">
        <f t="shared" si="10"/>
        <v>11</v>
      </c>
      <c r="AZ14" s="2">
        <f t="shared" si="10"/>
        <v>11</v>
      </c>
      <c r="BA14" s="2">
        <f t="shared" si="10"/>
        <v>11</v>
      </c>
      <c r="BC14" s="2" t="str">
        <f t="shared" si="11"/>
        <v/>
      </c>
      <c r="BD14" s="2">
        <v>-91</v>
      </c>
      <c r="BE14" s="2">
        <f t="shared" si="11"/>
        <v>180</v>
      </c>
      <c r="BF14" s="2">
        <f t="shared" si="11"/>
        <v>12</v>
      </c>
      <c r="BG14" s="2">
        <f t="shared" si="11"/>
        <v>281</v>
      </c>
      <c r="BH14" s="2">
        <f t="shared" si="11"/>
        <v>354</v>
      </c>
      <c r="BI14" s="2">
        <f t="shared" si="11"/>
        <v>309</v>
      </c>
      <c r="BJ14" s="2" t="str">
        <f t="shared" si="11"/>
        <v/>
      </c>
      <c r="BK14" s="2">
        <v>-10</v>
      </c>
      <c r="BL14" s="2">
        <f t="shared" si="11"/>
        <v>129</v>
      </c>
      <c r="BM14" s="2">
        <v>-71</v>
      </c>
      <c r="BN14" s="2" t="str">
        <f t="shared" si="11"/>
        <v/>
      </c>
      <c r="BP14" s="2">
        <f t="shared" si="11"/>
        <v>300</v>
      </c>
      <c r="BQ14" s="2">
        <v>-39</v>
      </c>
      <c r="BR14" s="2">
        <f t="shared" si="11"/>
        <v>192</v>
      </c>
      <c r="BS14" s="2">
        <f t="shared" si="12"/>
        <v>112</v>
      </c>
      <c r="BT14" s="2">
        <f t="shared" si="12"/>
        <v>152</v>
      </c>
      <c r="BV14" s="2">
        <v>-95</v>
      </c>
      <c r="BZ14" s="2">
        <f>BE14</f>
        <v>180</v>
      </c>
      <c r="CA14" s="2">
        <f t="shared" ref="CA14" si="30">BF14</f>
        <v>12</v>
      </c>
      <c r="CB14" s="2">
        <f t="shared" si="29"/>
        <v>281</v>
      </c>
      <c r="CC14" s="2">
        <f t="shared" si="29"/>
        <v>354</v>
      </c>
      <c r="CD14" s="2">
        <f t="shared" si="29"/>
        <v>309</v>
      </c>
      <c r="CE14" s="2">
        <f>BL14</f>
        <v>129</v>
      </c>
      <c r="CF14" s="2">
        <f>BP14</f>
        <v>300</v>
      </c>
      <c r="CG14" s="2">
        <f>BR14</f>
        <v>192</v>
      </c>
      <c r="CH14" s="2">
        <f t="shared" ref="CH14:CI14" si="31">BS14</f>
        <v>112</v>
      </c>
      <c r="CI14" s="2">
        <f t="shared" si="31"/>
        <v>152</v>
      </c>
      <c r="CJ14" s="2">
        <f>BD14</f>
        <v>-91</v>
      </c>
      <c r="CK14" s="2">
        <f>BK14</f>
        <v>-10</v>
      </c>
      <c r="CL14" s="2">
        <f>BM14</f>
        <v>-71</v>
      </c>
      <c r="CM14" s="2">
        <f>BQ14</f>
        <v>-39</v>
      </c>
      <c r="CN14" s="2">
        <f>BV14</f>
        <v>-95</v>
      </c>
      <c r="CO14" s="2" t="str">
        <f t="shared" si="14"/>
        <v>Agassi</v>
      </c>
      <c r="CP14" s="4">
        <f t="shared" si="23"/>
        <v>185.88543599032445</v>
      </c>
      <c r="CQ14" s="4">
        <f t="shared" si="19"/>
        <v>17.885435990324442</v>
      </c>
      <c r="CR14" s="4">
        <f t="shared" si="19"/>
        <v>286.88543599032442</v>
      </c>
      <c r="CS14" s="4">
        <f t="shared" si="19"/>
        <v>359.88543599032442</v>
      </c>
      <c r="CT14" s="4">
        <f t="shared" si="19"/>
        <v>314.88543599032442</v>
      </c>
      <c r="CU14" s="4">
        <f t="shared" si="19"/>
        <v>134.88543599032445</v>
      </c>
      <c r="CV14" s="4">
        <f t="shared" si="19"/>
        <v>305.88543599032442</v>
      </c>
      <c r="CW14" s="4">
        <f t="shared" si="19"/>
        <v>197.88543599032445</v>
      </c>
      <c r="CX14" s="4">
        <f t="shared" si="19"/>
        <v>117.88543599032444</v>
      </c>
      <c r="CY14" s="4">
        <f t="shared" si="19"/>
        <v>157.88543599032445</v>
      </c>
      <c r="CZ14" s="4">
        <f t="shared" ref="CZ14:CZ16" si="32">CJ14+$DG14</f>
        <v>-85.114564009675561</v>
      </c>
      <c r="DA14" s="4">
        <f t="shared" ref="DA14:DA16" si="33">CK14+$DG14</f>
        <v>-4.1145640096755578</v>
      </c>
      <c r="DB14" s="4">
        <f t="shared" ref="DB14:DB16" si="34">CL14+$DG14</f>
        <v>-65.114564009675561</v>
      </c>
      <c r="DC14" s="4">
        <f t="shared" ref="DC14" si="35">CM14+$DG14</f>
        <v>-33.114564009675561</v>
      </c>
      <c r="DD14" s="4">
        <f t="shared" ref="DD14" si="36">CN14+$DG14</f>
        <v>-89.114564009675561</v>
      </c>
      <c r="DE14" s="2">
        <f>VLOOKUP(B14,[1]Ranking!$C$3:$BM$19, 34, FALSE)</f>
        <v>61</v>
      </c>
      <c r="DF14" s="4">
        <f>VLOOKUP(B14,[1]Ranking!$C$3:$BM$19, 63, FALSE)</f>
        <v>359.01159540979097</v>
      </c>
      <c r="DG14" s="4">
        <f t="shared" si="16"/>
        <v>5.8854359903244422</v>
      </c>
    </row>
    <row r="15" spans="1:111" x14ac:dyDescent="0.3">
      <c r="A15" s="2">
        <v>13</v>
      </c>
      <c r="B15" s="2" t="str">
        <f>VLOOKUP(A15,[1]Ranking!$X$3:$AA$19, 4, FALSE)</f>
        <v>Connors</v>
      </c>
      <c r="C15" s="2" t="s">
        <v>17</v>
      </c>
      <c r="D15" s="3">
        <f t="shared" ca="1" si="7"/>
        <v>0.51197339313714718</v>
      </c>
      <c r="E15" s="2">
        <f t="shared" ca="1" si="8"/>
        <v>7</v>
      </c>
      <c r="F15" s="2" t="str">
        <f t="shared" si="17"/>
        <v>Connors</v>
      </c>
      <c r="G15" s="2">
        <f>VLOOKUP($C15,[1]Data!$C$3:$Z$86,G$1, FALSE)</f>
        <v>0</v>
      </c>
      <c r="H15" s="2">
        <f>VLOOKUP($C15,[1]Data!$C$3:$Z$86,H$1, FALSE)</f>
        <v>0</v>
      </c>
      <c r="I15" s="2">
        <f>VLOOKUP($C15,[1]Data!$C$3:$Z$86,I$1, FALSE)</f>
        <v>-40</v>
      </c>
      <c r="J15" s="2">
        <f>VLOOKUP($C15,[1]Data!$C$3:$Z$86,J$1, FALSE)</f>
        <v>-50</v>
      </c>
      <c r="K15" s="2">
        <f>VLOOKUP($C15,[1]Data!$C$3:$Z$86,K$1, FALSE)</f>
        <v>0</v>
      </c>
      <c r="L15" s="2">
        <f>VLOOKUP($C15,[1]Data!$C$3:$Z$86,L$1, FALSE)</f>
        <v>0</v>
      </c>
      <c r="M15" s="2">
        <f>VLOOKUP($C15,[1]Data!$C$3:$Z$86,M$1, FALSE)</f>
        <v>0</v>
      </c>
      <c r="N15" s="2">
        <f>VLOOKUP($C15,[1]Data!$C$3:$Z$86,N$1, FALSE)</f>
        <v>0</v>
      </c>
      <c r="O15" s="2">
        <f>VLOOKUP($C15,[1]Data!$C$3:$Z$86,O$1, FALSE)</f>
        <v>0</v>
      </c>
      <c r="P15" s="2">
        <f>VLOOKUP($C15,[1]Data!$C$3:$Z$86,P$1, FALSE)</f>
        <v>278</v>
      </c>
      <c r="Q15" s="2">
        <f>VLOOKUP($C15,[1]Data!$C$3:$Z$86,Q$1, FALSE)</f>
        <v>245</v>
      </c>
      <c r="R15" s="2">
        <f>VLOOKUP($C15,[1]Data!$C$3:$Z$86,R$1, FALSE)</f>
        <v>130</v>
      </c>
      <c r="S15" s="2">
        <f>VLOOKUP($C15,[1]Data!$C$3:$Z$86,S$1, FALSE)</f>
        <v>171</v>
      </c>
      <c r="T15" s="2">
        <f>VLOOKUP($C15,[1]Data!$C$3:$Z$86,T$1, FALSE)</f>
        <v>155</v>
      </c>
      <c r="U15" s="2">
        <f>VLOOKUP($C15,[1]Data!$C$3:$Z$86,U$1, FALSE)</f>
        <v>180</v>
      </c>
      <c r="V15" s="2">
        <f>VLOOKUP($C15,[1]Data!$C$3:$Z$86,V$1, FALSE)</f>
        <v>223</v>
      </c>
      <c r="W15" s="2">
        <f>VLOOKUP($C15,[1]Data!$C$3:$Z$86,W$1, FALSE)</f>
        <v>0</v>
      </c>
      <c r="X15" s="2">
        <f>VLOOKUP($C15,[1]Data!$C$3:$Z$86,X$1, FALSE)</f>
        <v>12</v>
      </c>
      <c r="Y15" s="2">
        <f>VLOOKUP($C15,[1]Data!$C$3:$Z$86,Y$1, FALSE)</f>
        <v>0</v>
      </c>
      <c r="Z15" s="2">
        <f>VLOOKUP($C15,[1]Data!$C$3:$Z$86,Z$1, FALSE)</f>
        <v>10</v>
      </c>
      <c r="AA15" s="2">
        <f>VLOOKUP($C15,[1]Data!$C$3:$Z$86,AA$1, FALSE)</f>
        <v>0</v>
      </c>
      <c r="AB15" s="2">
        <f>VLOOKUP($C15,[1]Data!$C$3:$Z$86,AB$1, FALSE)</f>
        <v>95</v>
      </c>
      <c r="AC15" s="2">
        <f>VLOOKUP($C15,[1]Data!$C$3:$Z$86,AC$1, FALSE)</f>
        <v>-4</v>
      </c>
      <c r="AE15" s="2">
        <f t="shared" si="9"/>
        <v>11</v>
      </c>
      <c r="AF15" s="2">
        <f t="shared" si="9"/>
        <v>11</v>
      </c>
      <c r="AG15" s="2">
        <f t="shared" si="9"/>
        <v>22</v>
      </c>
      <c r="AH15" s="2">
        <f t="shared" si="9"/>
        <v>23</v>
      </c>
      <c r="AI15" s="2">
        <f t="shared" si="9"/>
        <v>11</v>
      </c>
      <c r="AJ15" s="2">
        <f t="shared" si="9"/>
        <v>11</v>
      </c>
      <c r="AK15" s="2">
        <f t="shared" si="9"/>
        <v>11</v>
      </c>
      <c r="AL15" s="2">
        <f t="shared" si="9"/>
        <v>11</v>
      </c>
      <c r="AM15" s="2">
        <f t="shared" si="9"/>
        <v>11</v>
      </c>
      <c r="AN15" s="2">
        <f t="shared" si="9"/>
        <v>1</v>
      </c>
      <c r="AO15" s="2">
        <f t="shared" si="9"/>
        <v>2</v>
      </c>
      <c r="AP15" s="2">
        <f t="shared" si="9"/>
        <v>7</v>
      </c>
      <c r="AQ15" s="2">
        <f t="shared" si="9"/>
        <v>5</v>
      </c>
      <c r="AR15" s="2">
        <f t="shared" si="9"/>
        <v>6</v>
      </c>
      <c r="AS15" s="2">
        <f t="shared" si="9"/>
        <v>4</v>
      </c>
      <c r="AT15" s="2">
        <f t="shared" si="9"/>
        <v>3</v>
      </c>
      <c r="AU15" s="2">
        <f t="shared" si="10"/>
        <v>11</v>
      </c>
      <c r="AV15" s="2">
        <f t="shared" si="10"/>
        <v>9</v>
      </c>
      <c r="AW15" s="2">
        <f t="shared" si="10"/>
        <v>11</v>
      </c>
      <c r="AX15" s="2">
        <f t="shared" si="10"/>
        <v>10</v>
      </c>
      <c r="AY15" s="2">
        <f t="shared" si="10"/>
        <v>11</v>
      </c>
      <c r="AZ15" s="2">
        <f t="shared" si="10"/>
        <v>8</v>
      </c>
      <c r="BA15" s="2">
        <f t="shared" si="10"/>
        <v>21</v>
      </c>
      <c r="BC15" s="2" t="str">
        <f t="shared" si="11"/>
        <v/>
      </c>
      <c r="BD15" s="2" t="str">
        <f t="shared" si="11"/>
        <v/>
      </c>
      <c r="BE15" s="2">
        <v>-40</v>
      </c>
      <c r="BF15" s="2">
        <v>-50</v>
      </c>
      <c r="BG15" s="2" t="str">
        <f t="shared" si="11"/>
        <v/>
      </c>
      <c r="BH15" s="2" t="str">
        <f t="shared" si="11"/>
        <v/>
      </c>
      <c r="BI15" s="2" t="str">
        <f t="shared" si="11"/>
        <v/>
      </c>
      <c r="BJ15" s="2" t="str">
        <f t="shared" si="11"/>
        <v/>
      </c>
      <c r="BK15" s="2" t="str">
        <f t="shared" si="11"/>
        <v/>
      </c>
      <c r="BL15" s="2">
        <f t="shared" si="11"/>
        <v>278</v>
      </c>
      <c r="BM15" s="2">
        <f t="shared" si="11"/>
        <v>245</v>
      </c>
      <c r="BN15" s="2">
        <f t="shared" si="11"/>
        <v>130</v>
      </c>
      <c r="BO15" s="2">
        <f t="shared" si="11"/>
        <v>171</v>
      </c>
      <c r="BP15" s="2">
        <f t="shared" si="11"/>
        <v>155</v>
      </c>
      <c r="BQ15" s="2">
        <f t="shared" si="11"/>
        <v>180</v>
      </c>
      <c r="BR15" s="2">
        <f t="shared" si="11"/>
        <v>223</v>
      </c>
      <c r="BS15" s="2" t="str">
        <f t="shared" si="12"/>
        <v/>
      </c>
      <c r="BT15" s="2">
        <f t="shared" si="12"/>
        <v>12</v>
      </c>
      <c r="BU15" s="2" t="str">
        <f t="shared" si="12"/>
        <v/>
      </c>
      <c r="BV15" s="2">
        <f t="shared" si="12"/>
        <v>10</v>
      </c>
      <c r="BW15" s="2" t="str">
        <f t="shared" si="12"/>
        <v/>
      </c>
      <c r="BX15" s="2">
        <f t="shared" si="12"/>
        <v>95</v>
      </c>
      <c r="BY15" s="2">
        <v>-4</v>
      </c>
      <c r="BZ15" s="2">
        <f>BL15</f>
        <v>278</v>
      </c>
      <c r="CA15" s="2">
        <f t="shared" ref="CA15:CF15" si="37">BM15</f>
        <v>245</v>
      </c>
      <c r="CB15" s="2">
        <f t="shared" si="37"/>
        <v>130</v>
      </c>
      <c r="CC15" s="2">
        <f t="shared" si="37"/>
        <v>171</v>
      </c>
      <c r="CD15" s="2">
        <f t="shared" si="37"/>
        <v>155</v>
      </c>
      <c r="CE15" s="2">
        <f t="shared" si="37"/>
        <v>180</v>
      </c>
      <c r="CF15" s="2">
        <f t="shared" si="37"/>
        <v>223</v>
      </c>
      <c r="CG15" s="2">
        <f>BT15</f>
        <v>12</v>
      </c>
      <c r="CH15" s="2">
        <f>BV15</f>
        <v>10</v>
      </c>
      <c r="CI15" s="2">
        <f>BE15</f>
        <v>-40</v>
      </c>
      <c r="CJ15" s="2">
        <f>BF15</f>
        <v>-50</v>
      </c>
      <c r="CK15" s="2">
        <f>BX15</f>
        <v>95</v>
      </c>
      <c r="CL15" s="2">
        <f>BY15</f>
        <v>-4</v>
      </c>
      <c r="CO15" s="2" t="str">
        <f t="shared" si="14"/>
        <v>Connors</v>
      </c>
      <c r="CP15" s="4">
        <f t="shared" si="23"/>
        <v>289.16221792201389</v>
      </c>
      <c r="CQ15" s="4">
        <f t="shared" si="19"/>
        <v>256.16221792201389</v>
      </c>
      <c r="CR15" s="4">
        <f t="shared" si="19"/>
        <v>141.16221792201389</v>
      </c>
      <c r="CS15" s="4">
        <f t="shared" si="19"/>
        <v>182.16221792201389</v>
      </c>
      <c r="CT15" s="4">
        <f t="shared" si="19"/>
        <v>166.16221792201389</v>
      </c>
      <c r="CU15" s="4">
        <f t="shared" si="19"/>
        <v>191.16221792201389</v>
      </c>
      <c r="CV15" s="4">
        <f t="shared" si="19"/>
        <v>234.16221792201389</v>
      </c>
      <c r="CW15" s="4">
        <f t="shared" si="19"/>
        <v>23.162217922013888</v>
      </c>
      <c r="CX15" s="4">
        <f t="shared" si="19"/>
        <v>21.162217922013888</v>
      </c>
      <c r="CY15" s="4">
        <f t="shared" si="19"/>
        <v>-28.837782077986112</v>
      </c>
      <c r="CZ15" s="4">
        <f t="shared" si="32"/>
        <v>-38.837782077986112</v>
      </c>
      <c r="DA15" s="4">
        <f t="shared" si="33"/>
        <v>106.16221792201389</v>
      </c>
      <c r="DB15" s="4">
        <f t="shared" si="34"/>
        <v>7.1622179220138875</v>
      </c>
      <c r="DC15" s="4"/>
      <c r="DD15" s="4"/>
      <c r="DE15" s="2">
        <f>VLOOKUP(B15,[1]Ranking!$C$3:$BM$19, 34, FALSE)</f>
        <v>57</v>
      </c>
      <c r="DF15" s="4">
        <f>VLOOKUP(B15,[1]Ranking!$C$3:$BM$19, 63, FALSE)</f>
        <v>636.2464215547916</v>
      </c>
      <c r="DG15" s="4">
        <f t="shared" si="16"/>
        <v>11.162217922013888</v>
      </c>
    </row>
    <row r="16" spans="1:111" x14ac:dyDescent="0.3">
      <c r="A16" s="2">
        <v>14</v>
      </c>
      <c r="B16" s="2" t="str">
        <f>VLOOKUP(A16,[1]Ranking!$X$3:$AA$19, 4, FALSE)</f>
        <v>Edberg</v>
      </c>
      <c r="C16" s="2" t="s">
        <v>18</v>
      </c>
      <c r="D16" s="3">
        <f t="shared" ca="1" si="7"/>
        <v>0.36102699255548876</v>
      </c>
      <c r="E16" s="2">
        <f t="shared" ca="1" si="8"/>
        <v>10</v>
      </c>
      <c r="F16" s="2" t="str">
        <f t="shared" si="17"/>
        <v>Edberg</v>
      </c>
      <c r="G16" s="2">
        <f>VLOOKUP($C16,[1]Data!$C$3:$Z$86,G$1, FALSE)</f>
        <v>0</v>
      </c>
      <c r="H16" s="2">
        <f>VLOOKUP($C16,[1]Data!$C$3:$Z$86,H$1, FALSE)</f>
        <v>47</v>
      </c>
      <c r="I16" s="2">
        <f>VLOOKUP($C16,[1]Data!$C$3:$Z$86,I$1, FALSE)</f>
        <v>165</v>
      </c>
      <c r="J16" s="2">
        <f>VLOOKUP($C16,[1]Data!$C$3:$Z$86,J$1, FALSE)</f>
        <v>-26</v>
      </c>
      <c r="K16" s="2">
        <f>VLOOKUP($C16,[1]Data!$C$3:$Z$86,K$1, FALSE)</f>
        <v>-98</v>
      </c>
      <c r="L16" s="2">
        <f>VLOOKUP($C16,[1]Data!$C$3:$Z$86,L$1, FALSE)</f>
        <v>48</v>
      </c>
      <c r="M16" s="2">
        <f>VLOOKUP($C16,[1]Data!$C$3:$Z$86,M$1, FALSE)</f>
        <v>259</v>
      </c>
      <c r="N16" s="2">
        <f>VLOOKUP($C16,[1]Data!$C$3:$Z$86,N$1, FALSE)</f>
        <v>-46</v>
      </c>
      <c r="O16" s="2">
        <f>VLOOKUP($C16,[1]Data!$C$3:$Z$86,O$1, FALSE)</f>
        <v>230</v>
      </c>
      <c r="P16" s="2">
        <f>VLOOKUP($C16,[1]Data!$C$3:$Z$86,P$1, FALSE)</f>
        <v>19</v>
      </c>
      <c r="Q16" s="2">
        <f>VLOOKUP($C16,[1]Data!$C$3:$Z$86,Q$1, FALSE)</f>
        <v>127</v>
      </c>
      <c r="R16" s="2">
        <f>VLOOKUP($C16,[1]Data!$C$3:$Z$86,R$1, FALSE)</f>
        <v>-37</v>
      </c>
      <c r="S16" s="2">
        <f>VLOOKUP($C16,[1]Data!$C$3:$Z$86,S$1, FALSE)</f>
        <v>54</v>
      </c>
      <c r="T16" s="2">
        <f>VLOOKUP($C16,[1]Data!$C$3:$Z$86,T$1, FALSE)</f>
        <v>209</v>
      </c>
      <c r="U16" s="2">
        <f>VLOOKUP($C16,[1]Data!$C$3:$Z$86,U$1, FALSE)</f>
        <v>0</v>
      </c>
      <c r="V16" s="2">
        <f>VLOOKUP($C16,[1]Data!$C$3:$Z$86,V$1, FALSE)</f>
        <v>0</v>
      </c>
      <c r="W16" s="2">
        <f>VLOOKUP($C16,[1]Data!$C$3:$Z$86,W$1, FALSE)</f>
        <v>0</v>
      </c>
      <c r="X16" s="2">
        <f>VLOOKUP($C16,[1]Data!$C$3:$Z$86,X$1, FALSE)</f>
        <v>0</v>
      </c>
      <c r="Y16" s="2">
        <f>VLOOKUP($C16,[1]Data!$C$3:$Z$86,Y$1, FALSE)</f>
        <v>0</v>
      </c>
      <c r="Z16" s="2">
        <f>VLOOKUP($C16,[1]Data!$C$3:$Z$86,Z$1, FALSE)</f>
        <v>0</v>
      </c>
      <c r="AA16" s="2">
        <f>VLOOKUP($C16,[1]Data!$C$3:$Z$86,AA$1, FALSE)</f>
        <v>0</v>
      </c>
      <c r="AB16" s="2">
        <f>VLOOKUP($C16,[1]Data!$C$3:$Z$86,AB$1, FALSE)</f>
        <v>0</v>
      </c>
      <c r="AC16" s="2">
        <f>VLOOKUP($C16,[1]Data!$C$3:$Z$86,AC$1, FALSE)</f>
        <v>0</v>
      </c>
      <c r="AE16" s="2">
        <f t="shared" si="9"/>
        <v>10</v>
      </c>
      <c r="AF16" s="2">
        <f t="shared" si="9"/>
        <v>8</v>
      </c>
      <c r="AG16" s="2">
        <f t="shared" si="9"/>
        <v>4</v>
      </c>
      <c r="AH16" s="2">
        <f t="shared" si="9"/>
        <v>20</v>
      </c>
      <c r="AI16" s="2">
        <f t="shared" si="9"/>
        <v>23</v>
      </c>
      <c r="AJ16" s="2">
        <f t="shared" si="9"/>
        <v>7</v>
      </c>
      <c r="AK16" s="2">
        <f t="shared" si="9"/>
        <v>1</v>
      </c>
      <c r="AL16" s="2">
        <f t="shared" si="9"/>
        <v>22</v>
      </c>
      <c r="AM16" s="2">
        <f t="shared" si="9"/>
        <v>2</v>
      </c>
      <c r="AN16" s="2">
        <f t="shared" si="9"/>
        <v>9</v>
      </c>
      <c r="AO16" s="2">
        <f t="shared" si="9"/>
        <v>5</v>
      </c>
      <c r="AP16" s="2">
        <f t="shared" si="9"/>
        <v>21</v>
      </c>
      <c r="AQ16" s="2">
        <f t="shared" si="9"/>
        <v>6</v>
      </c>
      <c r="AR16" s="2">
        <f t="shared" si="9"/>
        <v>3</v>
      </c>
      <c r="AS16" s="2">
        <f t="shared" si="9"/>
        <v>10</v>
      </c>
      <c r="AT16" s="2">
        <f t="shared" si="9"/>
        <v>10</v>
      </c>
      <c r="AU16" s="2">
        <f t="shared" si="10"/>
        <v>10</v>
      </c>
      <c r="AV16" s="2">
        <f t="shared" si="10"/>
        <v>10</v>
      </c>
      <c r="AW16" s="2">
        <f t="shared" si="10"/>
        <v>10</v>
      </c>
      <c r="AX16" s="2">
        <f t="shared" si="10"/>
        <v>10</v>
      </c>
      <c r="AY16" s="2">
        <f t="shared" si="10"/>
        <v>10</v>
      </c>
      <c r="AZ16" s="2">
        <f t="shared" si="10"/>
        <v>10</v>
      </c>
      <c r="BA16" s="2">
        <f t="shared" si="10"/>
        <v>10</v>
      </c>
      <c r="BC16" s="2" t="str">
        <f t="shared" si="11"/>
        <v/>
      </c>
      <c r="BD16" s="2">
        <f t="shared" si="11"/>
        <v>47</v>
      </c>
      <c r="BE16" s="2">
        <f t="shared" si="11"/>
        <v>165</v>
      </c>
      <c r="BF16" s="2">
        <v>-26</v>
      </c>
      <c r="BG16" s="2">
        <v>-98</v>
      </c>
      <c r="BH16" s="2">
        <f t="shared" si="11"/>
        <v>48</v>
      </c>
      <c r="BI16" s="2">
        <f t="shared" si="11"/>
        <v>259</v>
      </c>
      <c r="BJ16" s="2">
        <v>-46</v>
      </c>
      <c r="BK16" s="2">
        <f t="shared" si="11"/>
        <v>230</v>
      </c>
      <c r="BL16" s="2">
        <f t="shared" si="11"/>
        <v>19</v>
      </c>
      <c r="BM16" s="2">
        <f t="shared" si="11"/>
        <v>127</v>
      </c>
      <c r="BN16" s="2">
        <v>-37</v>
      </c>
      <c r="BO16" s="2">
        <f>AV16</f>
        <v>10</v>
      </c>
      <c r="BP16" s="2">
        <f t="shared" si="11"/>
        <v>209</v>
      </c>
      <c r="BQ16" s="2" t="str">
        <f t="shared" si="11"/>
        <v/>
      </c>
      <c r="BR16" s="2" t="str">
        <f t="shared" si="11"/>
        <v/>
      </c>
      <c r="BS16" s="2" t="str">
        <f t="shared" si="12"/>
        <v/>
      </c>
      <c r="BT16" s="2" t="str">
        <f t="shared" si="12"/>
        <v/>
      </c>
      <c r="BU16" s="2" t="str">
        <f t="shared" si="12"/>
        <v/>
      </c>
      <c r="BV16" s="2" t="str">
        <f t="shared" si="12"/>
        <v/>
      </c>
      <c r="BZ16" s="2">
        <f>BD16</f>
        <v>47</v>
      </c>
      <c r="CA16" s="2">
        <f t="shared" ref="CA16:CL16" si="38">BE16</f>
        <v>165</v>
      </c>
      <c r="CB16" s="2">
        <f t="shared" si="38"/>
        <v>-26</v>
      </c>
      <c r="CC16" s="2">
        <f t="shared" si="38"/>
        <v>-98</v>
      </c>
      <c r="CD16" s="2">
        <f t="shared" si="38"/>
        <v>48</v>
      </c>
      <c r="CE16" s="2">
        <f t="shared" si="38"/>
        <v>259</v>
      </c>
      <c r="CF16" s="2">
        <f t="shared" si="38"/>
        <v>-46</v>
      </c>
      <c r="CG16" s="2">
        <f t="shared" si="38"/>
        <v>230</v>
      </c>
      <c r="CH16" s="2">
        <f t="shared" si="38"/>
        <v>19</v>
      </c>
      <c r="CI16" s="2">
        <f t="shared" si="38"/>
        <v>127</v>
      </c>
      <c r="CJ16" s="2">
        <f t="shared" si="38"/>
        <v>-37</v>
      </c>
      <c r="CK16" s="2">
        <f t="shared" si="38"/>
        <v>10</v>
      </c>
      <c r="CL16" s="2">
        <f t="shared" si="38"/>
        <v>209</v>
      </c>
      <c r="CO16" s="2" t="str">
        <f t="shared" si="14"/>
        <v>Edberg</v>
      </c>
      <c r="CP16" s="4">
        <f t="shared" si="23"/>
        <v>58.16221792201388</v>
      </c>
      <c r="CQ16" s="4">
        <f t="shared" si="19"/>
        <v>176.16221792201389</v>
      </c>
      <c r="CR16" s="4">
        <f t="shared" si="19"/>
        <v>-14.837782077986116</v>
      </c>
      <c r="CS16" s="4">
        <f t="shared" si="19"/>
        <v>-86.83778207798612</v>
      </c>
      <c r="CT16" s="4">
        <f t="shared" si="19"/>
        <v>59.16221792201388</v>
      </c>
      <c r="CU16" s="4">
        <f t="shared" si="19"/>
        <v>270.16221792201389</v>
      </c>
      <c r="CV16" s="4">
        <f t="shared" si="19"/>
        <v>-34.83778207798612</v>
      </c>
      <c r="CW16" s="4">
        <f t="shared" si="19"/>
        <v>241.16221792201389</v>
      </c>
      <c r="CX16" s="4">
        <f t="shared" si="19"/>
        <v>30.162217922013884</v>
      </c>
      <c r="CY16" s="4">
        <f t="shared" si="19"/>
        <v>138.16221792201389</v>
      </c>
      <c r="CZ16" s="4">
        <f t="shared" si="32"/>
        <v>-25.837782077986116</v>
      </c>
      <c r="DA16" s="4">
        <f t="shared" si="33"/>
        <v>21.162217922013884</v>
      </c>
      <c r="DB16" s="4">
        <f t="shared" si="34"/>
        <v>220.16221792201389</v>
      </c>
      <c r="DC16" s="4"/>
      <c r="DD16" s="4"/>
      <c r="DE16" s="2">
        <f>VLOOKUP(B16,[1]Ranking!$C$3:$BM$19, 34, FALSE)</f>
        <v>54</v>
      </c>
      <c r="DF16" s="4">
        <f>VLOOKUP(B16,[1]Ranking!$C$3:$BM$19, 63, FALSE)</f>
        <v>602.75976778874974</v>
      </c>
      <c r="DG16" s="4">
        <f t="shared" si="16"/>
        <v>11.162217922013884</v>
      </c>
    </row>
    <row r="17" spans="1:143" x14ac:dyDescent="0.3">
      <c r="A17" s="2">
        <v>15</v>
      </c>
      <c r="B17" s="2" t="str">
        <f>VLOOKUP(A17,[1]Ranking!$X$3:$AA$19, 4, FALSE)</f>
        <v>Becker</v>
      </c>
      <c r="C17" s="2" t="s">
        <v>19</v>
      </c>
      <c r="D17" s="3">
        <f t="shared" ca="1" si="7"/>
        <v>0.28098489255562276</v>
      </c>
      <c r="E17" s="2">
        <f t="shared" ca="1" si="8"/>
        <v>11</v>
      </c>
      <c r="F17" s="2" t="str">
        <f t="shared" si="17"/>
        <v>Becker</v>
      </c>
      <c r="G17" s="2">
        <f>VLOOKUP($C17,[1]Data!$C$3:$Z$86,G$1, FALSE)</f>
        <v>0</v>
      </c>
      <c r="H17" s="2">
        <f>VLOOKUP($C17,[1]Data!$C$3:$Z$86,H$1, FALSE)</f>
        <v>73</v>
      </c>
      <c r="I17" s="2">
        <f>VLOOKUP($C17,[1]Data!$C$3:$Z$86,I$1, FALSE)</f>
        <v>153</v>
      </c>
      <c r="J17" s="2">
        <f>VLOOKUP($C17,[1]Data!$C$3:$Z$86,J$1, FALSE)</f>
        <v>227</v>
      </c>
      <c r="K17" s="2">
        <f>VLOOKUP($C17,[1]Data!$C$3:$Z$86,K$1, FALSE)</f>
        <v>136</v>
      </c>
      <c r="L17" s="2">
        <f>VLOOKUP($C17,[1]Data!$C$3:$Z$86,L$1, FALSE)</f>
        <v>200</v>
      </c>
      <c r="M17" s="2">
        <f>VLOOKUP($C17,[1]Data!$C$3:$Z$86,M$1, FALSE)</f>
        <v>-51</v>
      </c>
      <c r="N17" s="2">
        <f>VLOOKUP($C17,[1]Data!$C$3:$Z$86,N$1, FALSE)</f>
        <v>315</v>
      </c>
      <c r="O17" s="2">
        <f>VLOOKUP($C17,[1]Data!$C$3:$Z$86,O$1, FALSE)</f>
        <v>0</v>
      </c>
      <c r="P17" s="2">
        <f>VLOOKUP($C17,[1]Data!$C$3:$Z$86,P$1, FALSE)</f>
        <v>-95</v>
      </c>
      <c r="Q17" s="2">
        <f>VLOOKUP($C17,[1]Data!$C$3:$Z$86,Q$1, FALSE)</f>
        <v>0</v>
      </c>
      <c r="R17" s="2">
        <f>VLOOKUP($C17,[1]Data!$C$3:$Z$86,R$1, FALSE)</f>
        <v>-16</v>
      </c>
      <c r="S17" s="2">
        <f>VLOOKUP($C17,[1]Data!$C$3:$Z$86,S$1, FALSE)</f>
        <v>0</v>
      </c>
      <c r="T17" s="2">
        <f>VLOOKUP($C17,[1]Data!$C$3:$Z$86,T$1, FALSE)</f>
        <v>0</v>
      </c>
      <c r="U17" s="2">
        <f>VLOOKUP($C17,[1]Data!$C$3:$Z$86,U$1, FALSE)</f>
        <v>0</v>
      </c>
      <c r="V17" s="2">
        <f>VLOOKUP($C17,[1]Data!$C$3:$Z$86,V$1, FALSE)</f>
        <v>0</v>
      </c>
      <c r="W17" s="2">
        <f>VLOOKUP($C17,[1]Data!$C$3:$Z$86,W$1, FALSE)</f>
        <v>0</v>
      </c>
      <c r="X17" s="2">
        <f>VLOOKUP($C17,[1]Data!$C$3:$Z$86,X$1, FALSE)</f>
        <v>0</v>
      </c>
      <c r="Y17" s="2">
        <f>VLOOKUP($C17,[1]Data!$C$3:$Z$86,Y$1, FALSE)</f>
        <v>0</v>
      </c>
      <c r="Z17" s="2">
        <f>VLOOKUP($C17,[1]Data!$C$3:$Z$86,Z$1, FALSE)</f>
        <v>0</v>
      </c>
      <c r="AA17" s="2">
        <f>VLOOKUP($C17,[1]Data!$C$3:$Z$86,AA$1, FALSE)</f>
        <v>0</v>
      </c>
      <c r="AB17" s="2">
        <f>VLOOKUP($C17,[1]Data!$C$3:$Z$86,AB$1, FALSE)</f>
        <v>0</v>
      </c>
      <c r="AC17" s="2">
        <f>VLOOKUP($C17,[1]Data!$C$3:$Z$86,AC$1, FALSE)</f>
        <v>0</v>
      </c>
      <c r="AE17" s="2">
        <f t="shared" si="9"/>
        <v>7</v>
      </c>
      <c r="AF17" s="2">
        <f t="shared" si="9"/>
        <v>6</v>
      </c>
      <c r="AG17" s="2">
        <f t="shared" si="9"/>
        <v>4</v>
      </c>
      <c r="AH17" s="2">
        <f t="shared" si="9"/>
        <v>2</v>
      </c>
      <c r="AI17" s="2">
        <f t="shared" si="9"/>
        <v>5</v>
      </c>
      <c r="AJ17" s="2">
        <f t="shared" si="9"/>
        <v>3</v>
      </c>
      <c r="AK17" s="2">
        <f t="shared" si="9"/>
        <v>22</v>
      </c>
      <c r="AL17" s="2">
        <f t="shared" si="9"/>
        <v>1</v>
      </c>
      <c r="AM17" s="2">
        <f t="shared" si="9"/>
        <v>7</v>
      </c>
      <c r="AN17" s="2">
        <f t="shared" si="9"/>
        <v>23</v>
      </c>
      <c r="AO17" s="2">
        <f t="shared" si="9"/>
        <v>7</v>
      </c>
      <c r="AP17" s="2">
        <f t="shared" si="9"/>
        <v>21</v>
      </c>
      <c r="AQ17" s="2">
        <f t="shared" si="9"/>
        <v>7</v>
      </c>
      <c r="AR17" s="2">
        <f t="shared" si="9"/>
        <v>7</v>
      </c>
      <c r="AS17" s="2">
        <f t="shared" si="9"/>
        <v>7</v>
      </c>
      <c r="AT17" s="2">
        <f t="shared" si="9"/>
        <v>7</v>
      </c>
      <c r="AU17" s="2">
        <f t="shared" si="10"/>
        <v>7</v>
      </c>
      <c r="AV17" s="2">
        <f t="shared" si="10"/>
        <v>7</v>
      </c>
      <c r="AW17" s="2">
        <f t="shared" si="10"/>
        <v>7</v>
      </c>
      <c r="AX17" s="2">
        <f t="shared" si="10"/>
        <v>7</v>
      </c>
      <c r="AY17" s="2">
        <f t="shared" si="10"/>
        <v>7</v>
      </c>
      <c r="AZ17" s="2">
        <f t="shared" si="10"/>
        <v>7</v>
      </c>
      <c r="BA17" s="2">
        <f t="shared" si="10"/>
        <v>7</v>
      </c>
      <c r="BC17" s="2" t="str">
        <f t="shared" si="11"/>
        <v/>
      </c>
      <c r="BD17" s="2">
        <f t="shared" si="11"/>
        <v>73</v>
      </c>
      <c r="BE17" s="2">
        <f t="shared" si="11"/>
        <v>153</v>
      </c>
      <c r="BF17" s="2">
        <f t="shared" si="11"/>
        <v>227</v>
      </c>
      <c r="BG17" s="2">
        <f t="shared" si="11"/>
        <v>136</v>
      </c>
      <c r="BH17" s="2">
        <f t="shared" si="11"/>
        <v>200</v>
      </c>
      <c r="BI17" s="2">
        <v>-51</v>
      </c>
      <c r="BJ17" s="2">
        <f t="shared" si="11"/>
        <v>315</v>
      </c>
      <c r="BK17" s="2" t="str">
        <f t="shared" si="11"/>
        <v/>
      </c>
      <c r="BL17" s="2">
        <v>-95</v>
      </c>
      <c r="BM17" s="2" t="str">
        <f t="shared" si="11"/>
        <v/>
      </c>
      <c r="BN17" s="2">
        <v>-16</v>
      </c>
      <c r="BO17" s="2" t="str">
        <f t="shared" si="11"/>
        <v/>
      </c>
      <c r="BP17" s="2" t="str">
        <f t="shared" si="11"/>
        <v/>
      </c>
      <c r="BQ17" s="2" t="str">
        <f t="shared" si="11"/>
        <v/>
      </c>
      <c r="BR17" s="2" t="str">
        <f t="shared" si="11"/>
        <v/>
      </c>
      <c r="BS17" s="2" t="str">
        <f t="shared" si="12"/>
        <v/>
      </c>
      <c r="BT17" s="2" t="str">
        <f t="shared" si="12"/>
        <v/>
      </c>
      <c r="BU17" s="2" t="str">
        <f t="shared" si="12"/>
        <v/>
      </c>
      <c r="BV17" s="2" t="str">
        <f t="shared" si="12"/>
        <v/>
      </c>
      <c r="BZ17" s="2">
        <f>BD17</f>
        <v>73</v>
      </c>
      <c r="CA17" s="2">
        <f t="shared" ref="CA17:CD17" si="39">BE17</f>
        <v>153</v>
      </c>
      <c r="CB17" s="2">
        <f t="shared" si="39"/>
        <v>227</v>
      </c>
      <c r="CC17" s="2">
        <f t="shared" si="39"/>
        <v>136</v>
      </c>
      <c r="CD17" s="2">
        <f t="shared" si="39"/>
        <v>200</v>
      </c>
      <c r="CE17" s="2">
        <f>BJ17</f>
        <v>315</v>
      </c>
      <c r="CF17" s="2">
        <f>BI17</f>
        <v>-51</v>
      </c>
      <c r="CG17" s="2">
        <f>BL17</f>
        <v>-95</v>
      </c>
      <c r="CH17" s="2">
        <f>BN17</f>
        <v>-16</v>
      </c>
      <c r="CI17" s="2">
        <v>0</v>
      </c>
      <c r="CO17" s="2" t="str">
        <f t="shared" si="14"/>
        <v>Becker</v>
      </c>
      <c r="CP17" s="4">
        <f t="shared" si="23"/>
        <v>84.162217922013895</v>
      </c>
      <c r="CQ17" s="4">
        <f t="shared" si="19"/>
        <v>164.16221792201389</v>
      </c>
      <c r="CR17" s="4">
        <f t="shared" si="19"/>
        <v>238.16221792201389</v>
      </c>
      <c r="CS17" s="4">
        <f t="shared" si="19"/>
        <v>147.16221792201389</v>
      </c>
      <c r="CT17" s="4">
        <f t="shared" si="19"/>
        <v>211.16221792201389</v>
      </c>
      <c r="CU17" s="4">
        <f t="shared" si="19"/>
        <v>326.16221792201389</v>
      </c>
      <c r="CV17" s="4">
        <f t="shared" si="19"/>
        <v>-39.837782077986105</v>
      </c>
      <c r="CW17" s="4">
        <f t="shared" si="19"/>
        <v>-83.837782077986105</v>
      </c>
      <c r="CX17" s="4">
        <f t="shared" si="19"/>
        <v>-4.8377820779861072</v>
      </c>
      <c r="CY17" s="4">
        <f t="shared" si="19"/>
        <v>11.162217922013893</v>
      </c>
      <c r="CZ17" s="4"/>
      <c r="DA17" s="4"/>
      <c r="DB17" s="4"/>
      <c r="DC17" s="4"/>
      <c r="DD17" s="4"/>
      <c r="DE17" s="2">
        <f>VLOOKUP(B17,[1]Ranking!$C$3:$BM$19, 34, FALSE)</f>
        <v>46</v>
      </c>
      <c r="DF17" s="4">
        <f>VLOOKUP(B17,[1]Ranking!$C$3:$BM$19, 63, FALSE)</f>
        <v>513.46202441263904</v>
      </c>
      <c r="DG17" s="4">
        <f t="shared" si="16"/>
        <v>11.162217922013893</v>
      </c>
    </row>
    <row r="18" spans="1:143" x14ac:dyDescent="0.3">
      <c r="A18" s="2">
        <v>16</v>
      </c>
      <c r="B18" s="2" t="str">
        <f>VLOOKUP(A18,[1]Ranking!$X$3:$AA$19, 4, FALSE)</f>
        <v>McEnroe</v>
      </c>
      <c r="C18" s="2" t="s">
        <v>20</v>
      </c>
      <c r="D18" s="3">
        <f t="shared" ca="1" si="7"/>
        <v>0.82086838418752939</v>
      </c>
      <c r="E18" s="2">
        <f t="shared" ca="1" si="8"/>
        <v>2</v>
      </c>
      <c r="F18" s="2" t="str">
        <f t="shared" si="17"/>
        <v>McEnroe</v>
      </c>
      <c r="G18" s="2">
        <f>VLOOKUP($C18,[1]Data!$C$3:$Z$86,G$1, FALSE)</f>
        <v>-22</v>
      </c>
      <c r="H18" s="2">
        <f>VLOOKUP($C18,[1]Data!$C$3:$Z$86,H$1, FALSE)</f>
        <v>0</v>
      </c>
      <c r="I18" s="2">
        <f>VLOOKUP($C18,[1]Data!$C$3:$Z$86,I$1, FALSE)</f>
        <v>0</v>
      </c>
      <c r="J18" s="2">
        <f>VLOOKUP($C18,[1]Data!$C$3:$Z$86,J$1, FALSE)</f>
        <v>0</v>
      </c>
      <c r="K18" s="2">
        <f>VLOOKUP($C18,[1]Data!$C$3:$Z$86,K$1, FALSE)</f>
        <v>148</v>
      </c>
      <c r="L18" s="2">
        <f>VLOOKUP($C18,[1]Data!$C$3:$Z$86,L$1, FALSE)</f>
        <v>0</v>
      </c>
      <c r="M18" s="2">
        <f>VLOOKUP($C18,[1]Data!$C$3:$Z$86,M$1, FALSE)</f>
        <v>118</v>
      </c>
      <c r="N18" s="2">
        <f>VLOOKUP($C18,[1]Data!$C$3:$Z$86,N$1, FALSE)</f>
        <v>425</v>
      </c>
      <c r="O18" s="2">
        <f>VLOOKUP($C18,[1]Data!$C$3:$Z$86,O$1, FALSE)</f>
        <v>200</v>
      </c>
      <c r="P18" s="2">
        <f>VLOOKUP($C18,[1]Data!$C$3:$Z$86,P$1, FALSE)</f>
        <v>0</v>
      </c>
      <c r="Q18" s="2">
        <f>VLOOKUP($C18,[1]Data!$C$3:$Z$86,Q$1, FALSE)</f>
        <v>-49</v>
      </c>
      <c r="R18" s="2">
        <f>VLOOKUP($C18,[1]Data!$C$3:$Z$86,R$1, FALSE)</f>
        <v>37</v>
      </c>
      <c r="S18" s="2">
        <f>VLOOKUP($C18,[1]Data!$C$3:$Z$86,S$1, FALSE)</f>
        <v>0</v>
      </c>
      <c r="T18" s="2">
        <f>VLOOKUP($C18,[1]Data!$C$3:$Z$86,T$1, FALSE)</f>
        <v>0</v>
      </c>
      <c r="U18" s="2">
        <f>VLOOKUP($C18,[1]Data!$C$3:$Z$86,U$1, FALSE)</f>
        <v>-17</v>
      </c>
      <c r="V18" s="2">
        <f>VLOOKUP($C18,[1]Data!$C$3:$Z$86,V$1, FALSE)</f>
        <v>-94</v>
      </c>
      <c r="W18" s="2">
        <f>VLOOKUP($C18,[1]Data!$C$3:$Z$86,W$1, FALSE)</f>
        <v>0</v>
      </c>
      <c r="X18" s="2">
        <f>VLOOKUP($C18,[1]Data!$C$3:$Z$86,X$1, FALSE)</f>
        <v>0</v>
      </c>
      <c r="Y18" s="2">
        <f>VLOOKUP($C18,[1]Data!$C$3:$Z$86,Y$1, FALSE)</f>
        <v>0</v>
      </c>
      <c r="Z18" s="2">
        <f>VLOOKUP($C18,[1]Data!$C$3:$Z$86,Z$1, FALSE)</f>
        <v>0</v>
      </c>
      <c r="AA18" s="2">
        <f>VLOOKUP($C18,[1]Data!$C$3:$Z$86,AA$1, FALSE)</f>
        <v>0</v>
      </c>
      <c r="AB18" s="2">
        <f>VLOOKUP($C18,[1]Data!$C$3:$Z$86,AB$1, FALSE)</f>
        <v>0</v>
      </c>
      <c r="AC18" s="2">
        <f>VLOOKUP($C18,[1]Data!$C$3:$Z$86,AC$1, FALSE)</f>
        <v>0</v>
      </c>
      <c r="AE18" s="2">
        <f t="shared" si="9"/>
        <v>21</v>
      </c>
      <c r="AF18" s="2">
        <f t="shared" si="9"/>
        <v>6</v>
      </c>
      <c r="AG18" s="2">
        <f t="shared" si="9"/>
        <v>6</v>
      </c>
      <c r="AH18" s="2">
        <f t="shared" si="9"/>
        <v>6</v>
      </c>
      <c r="AI18" s="2">
        <f t="shared" si="9"/>
        <v>3</v>
      </c>
      <c r="AJ18" s="2">
        <f t="shared" si="9"/>
        <v>6</v>
      </c>
      <c r="AK18" s="2">
        <f t="shared" si="9"/>
        <v>4</v>
      </c>
      <c r="AL18" s="2">
        <f t="shared" si="9"/>
        <v>1</v>
      </c>
      <c r="AM18" s="2">
        <f t="shared" si="9"/>
        <v>2</v>
      </c>
      <c r="AN18" s="2">
        <f t="shared" si="9"/>
        <v>6</v>
      </c>
      <c r="AO18" s="2">
        <f t="shared" si="9"/>
        <v>22</v>
      </c>
      <c r="AP18" s="2">
        <f t="shared" si="9"/>
        <v>5</v>
      </c>
      <c r="AQ18" s="2">
        <f t="shared" si="9"/>
        <v>6</v>
      </c>
      <c r="AR18" s="2">
        <f t="shared" si="9"/>
        <v>6</v>
      </c>
      <c r="AS18" s="2">
        <f t="shared" si="9"/>
        <v>20</v>
      </c>
      <c r="AT18" s="2">
        <f t="shared" si="9"/>
        <v>23</v>
      </c>
      <c r="AU18" s="2">
        <f t="shared" si="10"/>
        <v>6</v>
      </c>
      <c r="AV18" s="2">
        <f t="shared" si="10"/>
        <v>6</v>
      </c>
      <c r="AW18" s="2">
        <f t="shared" si="10"/>
        <v>6</v>
      </c>
      <c r="AX18" s="2">
        <f t="shared" si="10"/>
        <v>6</v>
      </c>
      <c r="AY18" s="2">
        <f t="shared" si="10"/>
        <v>6</v>
      </c>
      <c r="AZ18" s="2">
        <f t="shared" si="10"/>
        <v>6</v>
      </c>
      <c r="BA18" s="2">
        <f t="shared" si="10"/>
        <v>6</v>
      </c>
      <c r="BC18" s="2">
        <v>-22</v>
      </c>
      <c r="BD18" s="2" t="str">
        <f t="shared" si="11"/>
        <v/>
      </c>
      <c r="BE18" s="2" t="str">
        <f t="shared" si="11"/>
        <v/>
      </c>
      <c r="BF18" s="2" t="str">
        <f t="shared" si="11"/>
        <v/>
      </c>
      <c r="BG18" s="2">
        <f t="shared" si="11"/>
        <v>148</v>
      </c>
      <c r="BH18" s="2" t="str">
        <f t="shared" si="11"/>
        <v/>
      </c>
      <c r="BI18" s="2">
        <f t="shared" si="11"/>
        <v>118</v>
      </c>
      <c r="BJ18" s="2">
        <f t="shared" si="11"/>
        <v>425</v>
      </c>
      <c r="BK18" s="2">
        <f t="shared" si="11"/>
        <v>200</v>
      </c>
      <c r="BL18" s="2" t="str">
        <f t="shared" si="11"/>
        <v/>
      </c>
      <c r="BM18" s="2">
        <v>-49</v>
      </c>
      <c r="BN18" s="2">
        <f t="shared" si="11"/>
        <v>37</v>
      </c>
      <c r="BO18" s="2" t="str">
        <f t="shared" si="11"/>
        <v/>
      </c>
      <c r="BP18" s="2" t="str">
        <f t="shared" si="11"/>
        <v/>
      </c>
      <c r="BQ18" s="2">
        <v>-17</v>
      </c>
      <c r="BR18" s="2">
        <v>-94</v>
      </c>
      <c r="BS18" s="2" t="str">
        <f t="shared" si="12"/>
        <v/>
      </c>
      <c r="BT18" s="2" t="str">
        <f t="shared" si="12"/>
        <v/>
      </c>
      <c r="BU18" s="2" t="str">
        <f t="shared" si="12"/>
        <v/>
      </c>
      <c r="BV18" s="2" t="str">
        <f t="shared" si="12"/>
        <v/>
      </c>
      <c r="BZ18" s="2">
        <f>BG18</f>
        <v>148</v>
      </c>
      <c r="CA18" s="2">
        <f>BI18</f>
        <v>118</v>
      </c>
      <c r="CB18" s="2">
        <f t="shared" ref="CB18:CC18" si="40">BJ18</f>
        <v>425</v>
      </c>
      <c r="CC18" s="2">
        <f t="shared" si="40"/>
        <v>200</v>
      </c>
      <c r="CD18" s="2">
        <f>BN18</f>
        <v>37</v>
      </c>
      <c r="CE18" s="2">
        <f>BC18</f>
        <v>-22</v>
      </c>
      <c r="CF18" s="2">
        <f>BM18</f>
        <v>-49</v>
      </c>
      <c r="CG18" s="2">
        <f>BQ18</f>
        <v>-17</v>
      </c>
      <c r="CH18" s="2">
        <f>BR18</f>
        <v>-94</v>
      </c>
      <c r="CI18" s="2">
        <v>0</v>
      </c>
      <c r="CO18" s="2" t="str">
        <f t="shared" si="14"/>
        <v>McEnroe</v>
      </c>
      <c r="CP18" s="4">
        <f t="shared" si="23"/>
        <v>159.16221792201389</v>
      </c>
      <c r="CQ18" s="4">
        <f t="shared" si="19"/>
        <v>129.16221792201389</v>
      </c>
      <c r="CR18" s="4">
        <f t="shared" si="19"/>
        <v>436.16221792201389</v>
      </c>
      <c r="CS18" s="4">
        <f t="shared" si="19"/>
        <v>211.16221792201389</v>
      </c>
      <c r="CT18" s="4">
        <f>CD18+$DG18</f>
        <v>48.162217922013895</v>
      </c>
      <c r="CU18" s="4">
        <f t="shared" si="19"/>
        <v>-10.837782077986109</v>
      </c>
      <c r="CV18" s="4">
        <f>CD18+$DG18</f>
        <v>48.162217922013895</v>
      </c>
      <c r="CW18" s="4">
        <f t="shared" si="19"/>
        <v>-5.8377820779861089</v>
      </c>
      <c r="CX18" s="4">
        <f t="shared" si="19"/>
        <v>-82.837782077986105</v>
      </c>
      <c r="CY18" s="4">
        <f t="shared" si="19"/>
        <v>11.162217922013891</v>
      </c>
      <c r="CZ18" s="4"/>
      <c r="DA18" s="4"/>
      <c r="DB18" s="4"/>
      <c r="DC18" s="4"/>
      <c r="DD18" s="4"/>
      <c r="DE18" s="2">
        <f>VLOOKUP(B18,[1]Ranking!$C$3:$BM$19, 34, FALSE)</f>
        <v>45</v>
      </c>
      <c r="DF18" s="4">
        <f>VLOOKUP(B18,[1]Ranking!$C$3:$BM$19, 63, FALSE)</f>
        <v>502.29980649062509</v>
      </c>
      <c r="DG18" s="4">
        <f t="shared" si="16"/>
        <v>11.162217922013891</v>
      </c>
    </row>
    <row r="19" spans="1:143" x14ac:dyDescent="0.3">
      <c r="DH19" s="2">
        <v>2</v>
      </c>
      <c r="DI19" s="2">
        <v>3</v>
      </c>
      <c r="DJ19" s="2">
        <v>4</v>
      </c>
      <c r="DK19" s="2">
        <v>5</v>
      </c>
      <c r="DL19" s="2">
        <v>6</v>
      </c>
      <c r="DM19" s="2">
        <v>7</v>
      </c>
      <c r="DN19" s="2">
        <v>8</v>
      </c>
      <c r="DO19" s="2">
        <v>9</v>
      </c>
      <c r="DP19" s="2">
        <v>10</v>
      </c>
      <c r="DQ19" s="2">
        <v>11</v>
      </c>
      <c r="DR19" s="2">
        <v>12</v>
      </c>
      <c r="DS19" s="2">
        <v>13</v>
      </c>
      <c r="DT19" s="2">
        <v>14</v>
      </c>
      <c r="DU19" s="2">
        <v>15</v>
      </c>
      <c r="DV19" s="2">
        <v>16</v>
      </c>
    </row>
    <row r="20" spans="1:143" x14ac:dyDescent="0.3">
      <c r="DX20" s="2">
        <v>1</v>
      </c>
      <c r="DY20" s="2">
        <v>2</v>
      </c>
      <c r="DZ20" s="2">
        <v>3</v>
      </c>
      <c r="EA20" s="2">
        <v>4</v>
      </c>
      <c r="EB20" s="2">
        <v>5</v>
      </c>
      <c r="EC20" s="2">
        <v>6</v>
      </c>
      <c r="ED20" s="2">
        <v>7</v>
      </c>
      <c r="EE20" s="2">
        <v>8</v>
      </c>
      <c r="EF20" s="2">
        <v>9</v>
      </c>
      <c r="EG20" s="2">
        <v>10</v>
      </c>
      <c r="EH20" s="2">
        <v>11</v>
      </c>
      <c r="EI20" s="2">
        <v>12</v>
      </c>
      <c r="EJ20" s="2">
        <v>13</v>
      </c>
      <c r="EK20" s="2">
        <v>14</v>
      </c>
      <c r="EL20" s="2">
        <v>15</v>
      </c>
    </row>
    <row r="21" spans="1:143" x14ac:dyDescent="0.3">
      <c r="A21" s="2">
        <v>1</v>
      </c>
      <c r="B21" s="2" t="str">
        <f>VLOOKUP(A21,$A$2:$B$18, 2, FALSE)</f>
        <v>Nadal</v>
      </c>
      <c r="DH21" s="2">
        <f t="shared" ref="DH21:DV21" si="41">VLOOKUP($B21,$CO$2:$DD$18,DH$19,FALSE)</f>
        <v>489.22788275536357</v>
      </c>
      <c r="DI21" s="2">
        <f t="shared" si="41"/>
        <v>445.22788275536357</v>
      </c>
      <c r="DJ21" s="2">
        <f t="shared" si="41"/>
        <v>490.22788275536357</v>
      </c>
      <c r="DK21" s="2">
        <f t="shared" si="41"/>
        <v>473.22788275536357</v>
      </c>
      <c r="DL21" s="2">
        <f t="shared" si="41"/>
        <v>50.227882755363581</v>
      </c>
      <c r="DM21" s="2">
        <f t="shared" si="41"/>
        <v>501.22788275536357</v>
      </c>
      <c r="DN21" s="2">
        <f t="shared" si="41"/>
        <v>507.22788275536357</v>
      </c>
      <c r="DO21" s="2">
        <f t="shared" si="41"/>
        <v>469.22788275536357</v>
      </c>
      <c r="DP21" s="2">
        <f t="shared" si="41"/>
        <v>544.22788275536357</v>
      </c>
      <c r="DQ21" s="2">
        <f t="shared" si="41"/>
        <v>424.22788275536357</v>
      </c>
      <c r="DR21" s="2">
        <f t="shared" si="41"/>
        <v>77.227882755363581</v>
      </c>
      <c r="DS21" s="2">
        <f t="shared" si="41"/>
        <v>542.22788275536357</v>
      </c>
      <c r="DT21" s="2">
        <f t="shared" si="41"/>
        <v>542.22788275536357</v>
      </c>
      <c r="DU21" s="2">
        <f t="shared" si="41"/>
        <v>445.22788275536357</v>
      </c>
      <c r="DV21" s="2">
        <f t="shared" si="41"/>
        <v>0</v>
      </c>
      <c r="DW21" s="2" t="str">
        <f>B21</f>
        <v>Nadal</v>
      </c>
      <c r="DX21" s="2">
        <f t="shared" ref="DX21:EL36" si="42">IF(DH21=0, "",DH21)</f>
        <v>489.22788275536357</v>
      </c>
      <c r="DY21" s="2">
        <f t="shared" si="42"/>
        <v>445.22788275536357</v>
      </c>
      <c r="DZ21" s="2">
        <f t="shared" si="42"/>
        <v>490.22788275536357</v>
      </c>
      <c r="EA21" s="2">
        <f t="shared" si="42"/>
        <v>473.22788275536357</v>
      </c>
      <c r="EB21" s="2">
        <f t="shared" si="42"/>
        <v>50.227882755363581</v>
      </c>
      <c r="EC21" s="2">
        <f t="shared" si="42"/>
        <v>501.22788275536357</v>
      </c>
      <c r="ED21" s="2">
        <f t="shared" si="42"/>
        <v>507.22788275536357</v>
      </c>
      <c r="EE21" s="2">
        <f t="shared" si="42"/>
        <v>469.22788275536357</v>
      </c>
      <c r="EF21" s="2">
        <f t="shared" si="42"/>
        <v>544.22788275536357</v>
      </c>
      <c r="EG21" s="2">
        <f t="shared" si="42"/>
        <v>424.22788275536357</v>
      </c>
      <c r="EH21" s="2">
        <f t="shared" si="42"/>
        <v>77.227882755363581</v>
      </c>
      <c r="EI21" s="2">
        <f t="shared" si="42"/>
        <v>542.22788275536357</v>
      </c>
      <c r="EJ21" s="2">
        <f t="shared" si="42"/>
        <v>542.22788275536357</v>
      </c>
      <c r="EK21" s="2">
        <f t="shared" si="42"/>
        <v>445.22788275536357</v>
      </c>
      <c r="EL21" s="2" t="str">
        <f t="shared" si="42"/>
        <v/>
      </c>
      <c r="EM21" s="2">
        <f t="shared" ref="EM21:EM36" si="43">COUNT(DX21:EL21)</f>
        <v>14</v>
      </c>
    </row>
    <row r="22" spans="1:143" x14ac:dyDescent="0.3">
      <c r="A22" s="6">
        <v>1</v>
      </c>
      <c r="B22" s="2" t="str">
        <f t="shared" ref="B22:B27" ca="1" si="44">VLOOKUP(A22,$E$2:$F$18, 2, FALSE)</f>
        <v>Courier</v>
      </c>
      <c r="DH22" s="2">
        <f t="shared" ref="DH22:DH36" ca="1" si="45">VLOOKUP($B22,$CO$2:$DD$18,DH$19,FALSE)</f>
        <v>81.16221792201388</v>
      </c>
      <c r="DI22" s="2">
        <f t="shared" ref="DI22:DV36" ca="1" si="46">VLOOKUP($B22,$CO$2:$DD$18,DI$19,FALSE)</f>
        <v>43.162217922013888</v>
      </c>
      <c r="DJ22" s="2">
        <f t="shared" ca="1" si="46"/>
        <v>496.16221792201389</v>
      </c>
      <c r="DK22" s="2">
        <f t="shared" ca="1" si="46"/>
        <v>497.16221792201389</v>
      </c>
      <c r="DL22" s="2">
        <f t="shared" ca="1" si="46"/>
        <v>352.16221792201389</v>
      </c>
      <c r="DM22" s="2">
        <f t="shared" ca="1" si="46"/>
        <v>232.16221792201389</v>
      </c>
      <c r="DN22" s="2">
        <f t="shared" ca="1" si="46"/>
        <v>66.16221792201388</v>
      </c>
      <c r="DO22" s="2">
        <f t="shared" ca="1" si="46"/>
        <v>129.16221792201389</v>
      </c>
      <c r="DP22" s="2">
        <f t="shared" ca="1" si="46"/>
        <v>-27.837782077986112</v>
      </c>
      <c r="DQ22" s="2">
        <f t="shared" ca="1" si="46"/>
        <v>-30.837782077986112</v>
      </c>
      <c r="DR22" s="2">
        <f t="shared" ca="1" si="46"/>
        <v>-23.837782077986112</v>
      </c>
      <c r="DS22" s="2">
        <f t="shared" ca="1" si="46"/>
        <v>0</v>
      </c>
      <c r="DT22" s="2">
        <f t="shared" ca="1" si="46"/>
        <v>0</v>
      </c>
      <c r="DU22" s="2">
        <f t="shared" ca="1" si="46"/>
        <v>0</v>
      </c>
      <c r="DV22" s="2">
        <f t="shared" ca="1" si="46"/>
        <v>0</v>
      </c>
      <c r="DW22" s="2" t="str">
        <f t="shared" ref="DW22:DW36" ca="1" si="47">B22</f>
        <v>Courier</v>
      </c>
      <c r="DX22" s="2">
        <f t="shared" ca="1" si="42"/>
        <v>81.16221792201388</v>
      </c>
      <c r="DY22" s="2">
        <f t="shared" ca="1" si="42"/>
        <v>43.162217922013888</v>
      </c>
      <c r="DZ22" s="2">
        <f t="shared" ca="1" si="42"/>
        <v>496.16221792201389</v>
      </c>
      <c r="EA22" s="2">
        <f t="shared" ca="1" si="42"/>
        <v>497.16221792201389</v>
      </c>
      <c r="EB22" s="2">
        <f t="shared" ca="1" si="42"/>
        <v>352.16221792201389</v>
      </c>
      <c r="EC22" s="2">
        <f t="shared" ca="1" si="42"/>
        <v>232.16221792201389</v>
      </c>
      <c r="ED22" s="2">
        <f t="shared" ca="1" si="42"/>
        <v>66.16221792201388</v>
      </c>
      <c r="EE22" s="2">
        <f t="shared" ca="1" si="42"/>
        <v>129.16221792201389</v>
      </c>
      <c r="EF22" s="2">
        <f t="shared" ca="1" si="42"/>
        <v>-27.837782077986112</v>
      </c>
      <c r="EG22" s="2">
        <f t="shared" ca="1" si="42"/>
        <v>-30.837782077986112</v>
      </c>
      <c r="EH22" s="2">
        <f t="shared" ca="1" si="42"/>
        <v>-23.837782077986112</v>
      </c>
      <c r="EI22" s="2" t="str">
        <f t="shared" ca="1" si="42"/>
        <v/>
      </c>
      <c r="EJ22" s="2" t="str">
        <f t="shared" ca="1" si="42"/>
        <v/>
      </c>
      <c r="EK22" s="2" t="str">
        <f t="shared" ca="1" si="42"/>
        <v/>
      </c>
      <c r="EL22" s="2" t="str">
        <f t="shared" ca="1" si="42"/>
        <v/>
      </c>
      <c r="EM22" s="2">
        <f t="shared" ca="1" si="43"/>
        <v>11</v>
      </c>
    </row>
    <row r="23" spans="1:143" x14ac:dyDescent="0.3">
      <c r="A23" s="6">
        <v>2</v>
      </c>
      <c r="B23" s="2" t="str">
        <f t="shared" ca="1" si="44"/>
        <v>McEnroe</v>
      </c>
      <c r="DH23" s="2">
        <f t="shared" ca="1" si="45"/>
        <v>159.16221792201389</v>
      </c>
      <c r="DI23" s="2">
        <f t="shared" ca="1" si="46"/>
        <v>129.16221792201389</v>
      </c>
      <c r="DJ23" s="2">
        <f t="shared" ca="1" si="46"/>
        <v>436.16221792201389</v>
      </c>
      <c r="DK23" s="2">
        <f t="shared" ca="1" si="46"/>
        <v>211.16221792201389</v>
      </c>
      <c r="DL23" s="2">
        <f t="shared" ca="1" si="46"/>
        <v>48.162217922013895</v>
      </c>
      <c r="DM23" s="2">
        <f t="shared" ca="1" si="46"/>
        <v>-10.837782077986109</v>
      </c>
      <c r="DN23" s="2">
        <f t="shared" ca="1" si="46"/>
        <v>48.162217922013895</v>
      </c>
      <c r="DO23" s="2">
        <f t="shared" ca="1" si="46"/>
        <v>-5.8377820779861089</v>
      </c>
      <c r="DP23" s="2">
        <f t="shared" ca="1" si="46"/>
        <v>-82.837782077986105</v>
      </c>
      <c r="DQ23" s="2">
        <f t="shared" ca="1" si="46"/>
        <v>11.162217922013891</v>
      </c>
      <c r="DR23" s="2">
        <f t="shared" ca="1" si="46"/>
        <v>0</v>
      </c>
      <c r="DS23" s="2">
        <f t="shared" ca="1" si="46"/>
        <v>0</v>
      </c>
      <c r="DT23" s="2">
        <f t="shared" ca="1" si="46"/>
        <v>0</v>
      </c>
      <c r="DU23" s="2">
        <f t="shared" ca="1" si="46"/>
        <v>0</v>
      </c>
      <c r="DV23" s="2">
        <f t="shared" ca="1" si="46"/>
        <v>0</v>
      </c>
      <c r="DW23" s="2" t="str">
        <f t="shared" ca="1" si="47"/>
        <v>McEnroe</v>
      </c>
      <c r="DX23" s="2">
        <f t="shared" ca="1" si="42"/>
        <v>159.16221792201389</v>
      </c>
      <c r="DY23" s="2">
        <f t="shared" ca="1" si="42"/>
        <v>129.16221792201389</v>
      </c>
      <c r="DZ23" s="2">
        <f t="shared" ca="1" si="42"/>
        <v>436.16221792201389</v>
      </c>
      <c r="EA23" s="2">
        <f t="shared" ca="1" si="42"/>
        <v>211.16221792201389</v>
      </c>
      <c r="EB23" s="2">
        <f t="shared" ca="1" si="42"/>
        <v>48.162217922013895</v>
      </c>
      <c r="EC23" s="2">
        <f t="shared" ca="1" si="42"/>
        <v>-10.837782077986109</v>
      </c>
      <c r="ED23" s="2">
        <f t="shared" ca="1" si="42"/>
        <v>48.162217922013895</v>
      </c>
      <c r="EE23" s="2">
        <f t="shared" ca="1" si="42"/>
        <v>-5.8377820779861089</v>
      </c>
      <c r="EF23" s="2">
        <f t="shared" ca="1" si="42"/>
        <v>-82.837782077986105</v>
      </c>
      <c r="EG23" s="2">
        <f t="shared" ca="1" si="42"/>
        <v>11.162217922013891</v>
      </c>
      <c r="EH23" s="2" t="str">
        <f t="shared" ca="1" si="42"/>
        <v/>
      </c>
      <c r="EI23" s="2" t="str">
        <f t="shared" ca="1" si="42"/>
        <v/>
      </c>
      <c r="EJ23" s="2" t="str">
        <f t="shared" ca="1" si="42"/>
        <v/>
      </c>
      <c r="EK23" s="2" t="str">
        <f t="shared" ca="1" si="42"/>
        <v/>
      </c>
      <c r="EL23" s="2" t="str">
        <f t="shared" ca="1" si="42"/>
        <v/>
      </c>
      <c r="EM23" s="2">
        <f t="shared" ca="1" si="43"/>
        <v>10</v>
      </c>
    </row>
    <row r="24" spans="1:143" x14ac:dyDescent="0.3">
      <c r="A24" s="6">
        <v>3</v>
      </c>
      <c r="B24" s="2" t="str">
        <f t="shared" ca="1" si="44"/>
        <v>Agassi</v>
      </c>
      <c r="DH24" s="2">
        <f t="shared" ca="1" si="45"/>
        <v>185.88543599032445</v>
      </c>
      <c r="DI24" s="2">
        <f t="shared" ca="1" si="46"/>
        <v>17.885435990324442</v>
      </c>
      <c r="DJ24" s="2">
        <f t="shared" ca="1" si="46"/>
        <v>286.88543599032442</v>
      </c>
      <c r="DK24" s="2">
        <f t="shared" ca="1" si="46"/>
        <v>359.88543599032442</v>
      </c>
      <c r="DL24" s="2">
        <f t="shared" ca="1" si="46"/>
        <v>314.88543599032442</v>
      </c>
      <c r="DM24" s="2">
        <f t="shared" ca="1" si="46"/>
        <v>134.88543599032445</v>
      </c>
      <c r="DN24" s="2">
        <f t="shared" ca="1" si="46"/>
        <v>305.88543599032442</v>
      </c>
      <c r="DO24" s="2">
        <f t="shared" ca="1" si="46"/>
        <v>197.88543599032445</v>
      </c>
      <c r="DP24" s="2">
        <f t="shared" ca="1" si="46"/>
        <v>117.88543599032444</v>
      </c>
      <c r="DQ24" s="2">
        <f t="shared" ca="1" si="46"/>
        <v>157.88543599032445</v>
      </c>
      <c r="DR24" s="2">
        <f t="shared" ca="1" si="46"/>
        <v>-85.114564009675561</v>
      </c>
      <c r="DS24" s="2">
        <f t="shared" ca="1" si="46"/>
        <v>-4.1145640096755578</v>
      </c>
      <c r="DT24" s="2">
        <f t="shared" ca="1" si="46"/>
        <v>-65.114564009675561</v>
      </c>
      <c r="DU24" s="2">
        <f t="shared" ca="1" si="46"/>
        <v>-33.114564009675561</v>
      </c>
      <c r="DV24" s="2">
        <f t="shared" ca="1" si="46"/>
        <v>-89.114564009675561</v>
      </c>
      <c r="DW24" s="2" t="str">
        <f t="shared" ca="1" si="47"/>
        <v>Agassi</v>
      </c>
      <c r="DX24" s="2">
        <f t="shared" ca="1" si="42"/>
        <v>185.88543599032445</v>
      </c>
      <c r="DY24" s="2">
        <f t="shared" ca="1" si="42"/>
        <v>17.885435990324442</v>
      </c>
      <c r="DZ24" s="2">
        <f t="shared" ca="1" si="42"/>
        <v>286.88543599032442</v>
      </c>
      <c r="EA24" s="2">
        <f t="shared" ca="1" si="42"/>
        <v>359.88543599032442</v>
      </c>
      <c r="EB24" s="2">
        <f t="shared" ca="1" si="42"/>
        <v>314.88543599032442</v>
      </c>
      <c r="EC24" s="2">
        <f t="shared" ca="1" si="42"/>
        <v>134.88543599032445</v>
      </c>
      <c r="ED24" s="2">
        <f t="shared" ca="1" si="42"/>
        <v>305.88543599032442</v>
      </c>
      <c r="EE24" s="2">
        <f t="shared" ca="1" si="42"/>
        <v>197.88543599032445</v>
      </c>
      <c r="EF24" s="2">
        <f t="shared" ca="1" si="42"/>
        <v>117.88543599032444</v>
      </c>
      <c r="EG24" s="2">
        <f t="shared" ca="1" si="42"/>
        <v>157.88543599032445</v>
      </c>
      <c r="EH24" s="2">
        <f t="shared" ca="1" si="42"/>
        <v>-85.114564009675561</v>
      </c>
      <c r="EI24" s="2">
        <f t="shared" ca="1" si="42"/>
        <v>-4.1145640096755578</v>
      </c>
      <c r="EJ24" s="2">
        <f t="shared" ca="1" si="42"/>
        <v>-65.114564009675561</v>
      </c>
      <c r="EK24" s="2">
        <f t="shared" ca="1" si="42"/>
        <v>-33.114564009675561</v>
      </c>
      <c r="EL24" s="2">
        <f t="shared" ca="1" si="42"/>
        <v>-89.114564009675561</v>
      </c>
      <c r="EM24" s="2">
        <f t="shared" ca="1" si="43"/>
        <v>15</v>
      </c>
    </row>
    <row r="25" spans="1:143" x14ac:dyDescent="0.3">
      <c r="A25" s="6">
        <v>4</v>
      </c>
      <c r="B25" s="2" t="str">
        <f t="shared" ca="1" si="44"/>
        <v>Wawrinka</v>
      </c>
      <c r="DH25" s="2">
        <f t="shared" ca="1" si="45"/>
        <v>34.227882755363581</v>
      </c>
      <c r="DI25" s="2">
        <f t="shared" ca="1" si="46"/>
        <v>22.227882755363577</v>
      </c>
      <c r="DJ25" s="2">
        <f t="shared" ca="1" si="46"/>
        <v>22.227882755363577</v>
      </c>
      <c r="DK25" s="2">
        <f t="shared" ca="1" si="46"/>
        <v>23.227882755363577</v>
      </c>
      <c r="DL25" s="2">
        <f t="shared" ca="1" si="46"/>
        <v>50.227882755363581</v>
      </c>
      <c r="DM25" s="2">
        <f t="shared" ca="1" si="46"/>
        <v>74.227882755363581</v>
      </c>
      <c r="DN25" s="2">
        <f t="shared" ca="1" si="46"/>
        <v>165.22788275536357</v>
      </c>
      <c r="DO25" s="2">
        <f t="shared" ca="1" si="46"/>
        <v>230.22788275536357</v>
      </c>
      <c r="DP25" s="2">
        <f t="shared" ca="1" si="46"/>
        <v>509.22788275536357</v>
      </c>
      <c r="DQ25" s="2">
        <f t="shared" ca="1" si="46"/>
        <v>509.22788275536357</v>
      </c>
      <c r="DR25" s="2">
        <f t="shared" ca="1" si="46"/>
        <v>379.22788275536357</v>
      </c>
      <c r="DS25" s="2">
        <f t="shared" ca="1" si="46"/>
        <v>-10.772117244636423</v>
      </c>
      <c r="DT25" s="2">
        <f t="shared" ca="1" si="46"/>
        <v>-48.772117244636419</v>
      </c>
      <c r="DU25" s="2">
        <f t="shared" ca="1" si="46"/>
        <v>-74.772117244636419</v>
      </c>
      <c r="DV25" s="2">
        <f t="shared" ca="1" si="46"/>
        <v>0</v>
      </c>
      <c r="DW25" s="2" t="str">
        <f t="shared" ca="1" si="47"/>
        <v>Wawrinka</v>
      </c>
      <c r="DX25" s="2">
        <f t="shared" ca="1" si="42"/>
        <v>34.227882755363581</v>
      </c>
      <c r="DY25" s="2">
        <f t="shared" ca="1" si="42"/>
        <v>22.227882755363577</v>
      </c>
      <c r="DZ25" s="2">
        <f t="shared" ca="1" si="42"/>
        <v>22.227882755363577</v>
      </c>
      <c r="EA25" s="2">
        <f t="shared" ca="1" si="42"/>
        <v>23.227882755363577</v>
      </c>
      <c r="EB25" s="2">
        <f t="shared" ca="1" si="42"/>
        <v>50.227882755363581</v>
      </c>
      <c r="EC25" s="2">
        <f t="shared" ca="1" si="42"/>
        <v>74.227882755363581</v>
      </c>
      <c r="ED25" s="2">
        <f t="shared" ca="1" si="42"/>
        <v>165.22788275536357</v>
      </c>
      <c r="EE25" s="2">
        <f t="shared" ca="1" si="42"/>
        <v>230.22788275536357</v>
      </c>
      <c r="EF25" s="2">
        <f t="shared" ca="1" si="42"/>
        <v>509.22788275536357</v>
      </c>
      <c r="EG25" s="2">
        <f t="shared" ca="1" si="42"/>
        <v>509.22788275536357</v>
      </c>
      <c r="EH25" s="2">
        <f t="shared" ca="1" si="42"/>
        <v>379.22788275536357</v>
      </c>
      <c r="EI25" s="2">
        <f t="shared" ca="1" si="42"/>
        <v>-10.772117244636423</v>
      </c>
      <c r="EJ25" s="2">
        <f t="shared" ca="1" si="42"/>
        <v>-48.772117244636419</v>
      </c>
      <c r="EK25" s="2">
        <f t="shared" ca="1" si="42"/>
        <v>-74.772117244636419</v>
      </c>
      <c r="EL25" s="2" t="str">
        <f t="shared" ca="1" si="42"/>
        <v/>
      </c>
      <c r="EM25" s="2">
        <f t="shared" ca="1" si="43"/>
        <v>14</v>
      </c>
    </row>
    <row r="26" spans="1:143" x14ac:dyDescent="0.3">
      <c r="A26" s="6">
        <v>5</v>
      </c>
      <c r="B26" s="2" t="str">
        <f t="shared" ca="1" si="44"/>
        <v>Kuerten</v>
      </c>
      <c r="DH26" s="2">
        <f t="shared" ca="1" si="45"/>
        <v>514.12946966949562</v>
      </c>
      <c r="DI26" s="2">
        <f t="shared" ca="1" si="46"/>
        <v>29.129469669495577</v>
      </c>
      <c r="DJ26" s="2">
        <f t="shared" ca="1" si="46"/>
        <v>29.129469669495577</v>
      </c>
      <c r="DK26" s="2">
        <f t="shared" ca="1" si="46"/>
        <v>432.12946966949556</v>
      </c>
      <c r="DL26" s="2">
        <f t="shared" ca="1" si="46"/>
        <v>93.129469669495577</v>
      </c>
      <c r="DM26" s="2">
        <f t="shared" ca="1" si="46"/>
        <v>64.129469669495577</v>
      </c>
      <c r="DN26" s="2">
        <f t="shared" ca="1" si="46"/>
        <v>183.12946966949559</v>
      </c>
      <c r="DO26" s="2">
        <f t="shared" ca="1" si="46"/>
        <v>-6.8705303305044207</v>
      </c>
      <c r="DP26" s="2">
        <f t="shared" ca="1" si="46"/>
        <v>-94.870530330504423</v>
      </c>
      <c r="DQ26" s="2">
        <f t="shared" ca="1" si="46"/>
        <v>-95.870530330504423</v>
      </c>
      <c r="DR26" s="2">
        <f t="shared" ca="1" si="46"/>
        <v>-14.870530330504421</v>
      </c>
      <c r="DS26" s="2">
        <f t="shared" ca="1" si="46"/>
        <v>0</v>
      </c>
      <c r="DT26" s="2">
        <f t="shared" ca="1" si="46"/>
        <v>0</v>
      </c>
      <c r="DU26" s="2">
        <f t="shared" ca="1" si="46"/>
        <v>0</v>
      </c>
      <c r="DV26" s="4">
        <f t="shared" ca="1" si="46"/>
        <v>0</v>
      </c>
      <c r="DW26" s="2" t="str">
        <f t="shared" ca="1" si="47"/>
        <v>Kuerten</v>
      </c>
      <c r="DX26" s="2">
        <f t="shared" ca="1" si="42"/>
        <v>514.12946966949562</v>
      </c>
      <c r="DY26" s="2">
        <f t="shared" ca="1" si="42"/>
        <v>29.129469669495577</v>
      </c>
      <c r="DZ26" s="2">
        <f t="shared" ca="1" si="42"/>
        <v>29.129469669495577</v>
      </c>
      <c r="EA26" s="2">
        <f t="shared" ca="1" si="42"/>
        <v>432.12946966949556</v>
      </c>
      <c r="EB26" s="2">
        <f t="shared" ca="1" si="42"/>
        <v>93.129469669495577</v>
      </c>
      <c r="EC26" s="2">
        <f t="shared" ca="1" si="42"/>
        <v>64.129469669495577</v>
      </c>
      <c r="ED26" s="2">
        <f t="shared" ca="1" si="42"/>
        <v>183.12946966949559</v>
      </c>
      <c r="EE26" s="2">
        <f t="shared" ca="1" si="42"/>
        <v>-6.8705303305044207</v>
      </c>
      <c r="EF26" s="2">
        <f t="shared" ca="1" si="42"/>
        <v>-94.870530330504423</v>
      </c>
      <c r="EG26" s="2">
        <f t="shared" ca="1" si="42"/>
        <v>-95.870530330504423</v>
      </c>
      <c r="EH26" s="2">
        <f t="shared" ca="1" si="42"/>
        <v>-14.870530330504421</v>
      </c>
      <c r="EI26" s="2" t="str">
        <f t="shared" ca="1" si="42"/>
        <v/>
      </c>
      <c r="EJ26" s="2" t="str">
        <f t="shared" ca="1" si="42"/>
        <v/>
      </c>
      <c r="EK26" s="2" t="str">
        <f t="shared" ca="1" si="42"/>
        <v/>
      </c>
      <c r="EL26" s="2" t="str">
        <f t="shared" ca="1" si="42"/>
        <v/>
      </c>
      <c r="EM26" s="2">
        <f t="shared" ca="1" si="43"/>
        <v>11</v>
      </c>
    </row>
    <row r="27" spans="1:143" x14ac:dyDescent="0.3">
      <c r="A27" s="6">
        <v>6</v>
      </c>
      <c r="B27" s="2" t="str">
        <f t="shared" ca="1" si="44"/>
        <v>Vilas</v>
      </c>
      <c r="DH27" s="2">
        <f t="shared" ca="1" si="45"/>
        <v>46.16221792201388</v>
      </c>
      <c r="DI27" s="2">
        <f t="shared" ca="1" si="46"/>
        <v>82.16221792201388</v>
      </c>
      <c r="DJ27" s="2">
        <f t="shared" ca="1" si="46"/>
        <v>63.16221792201388</v>
      </c>
      <c r="DK27" s="2">
        <f t="shared" ca="1" si="46"/>
        <v>330.16221792201389</v>
      </c>
      <c r="DL27" s="2">
        <f t="shared" ca="1" si="46"/>
        <v>149.16221792201387</v>
      </c>
      <c r="DM27" s="2">
        <f t="shared" ca="1" si="46"/>
        <v>556.16221792201384</v>
      </c>
      <c r="DN27" s="2">
        <f t="shared" ca="1" si="46"/>
        <v>310.16221792201389</v>
      </c>
      <c r="DO27" s="2">
        <f t="shared" ca="1" si="46"/>
        <v>163.16221792201387</v>
      </c>
      <c r="DP27" s="2">
        <f t="shared" ca="1" si="46"/>
        <v>206.16221792201387</v>
      </c>
      <c r="DQ27" s="2">
        <f t="shared" ca="1" si="46"/>
        <v>116.16221792201388</v>
      </c>
      <c r="DR27" s="2">
        <f t="shared" ca="1" si="46"/>
        <v>294.16221792201389</v>
      </c>
      <c r="DS27" s="2">
        <f t="shared" ca="1" si="46"/>
        <v>123.16221792201388</v>
      </c>
      <c r="DT27" s="2">
        <f t="shared" ca="1" si="46"/>
        <v>112.16221792201388</v>
      </c>
      <c r="DU27" s="2">
        <f t="shared" ca="1" si="46"/>
        <v>-19.837782077986123</v>
      </c>
      <c r="DV27" s="4">
        <f t="shared" ca="1" si="46"/>
        <v>2.1622179220138769</v>
      </c>
      <c r="DW27" s="2" t="str">
        <f t="shared" ca="1" si="47"/>
        <v>Vilas</v>
      </c>
      <c r="DX27" s="2">
        <f t="shared" ca="1" si="42"/>
        <v>46.16221792201388</v>
      </c>
      <c r="DY27" s="2">
        <f t="shared" ca="1" si="42"/>
        <v>82.16221792201388</v>
      </c>
      <c r="DZ27" s="2">
        <f t="shared" ca="1" si="42"/>
        <v>63.16221792201388</v>
      </c>
      <c r="EA27" s="2">
        <f t="shared" ca="1" si="42"/>
        <v>330.16221792201389</v>
      </c>
      <c r="EB27" s="2">
        <f t="shared" ca="1" si="42"/>
        <v>149.16221792201387</v>
      </c>
      <c r="EC27" s="2">
        <f t="shared" ca="1" si="42"/>
        <v>556.16221792201384</v>
      </c>
      <c r="ED27" s="2">
        <f t="shared" ca="1" si="42"/>
        <v>310.16221792201389</v>
      </c>
      <c r="EE27" s="2">
        <f t="shared" ca="1" si="42"/>
        <v>163.16221792201387</v>
      </c>
      <c r="EF27" s="2">
        <f t="shared" ca="1" si="42"/>
        <v>206.16221792201387</v>
      </c>
      <c r="EG27" s="2">
        <f t="shared" ca="1" si="42"/>
        <v>116.16221792201388</v>
      </c>
      <c r="EH27" s="2">
        <f t="shared" ca="1" si="42"/>
        <v>294.16221792201389</v>
      </c>
      <c r="EI27" s="2">
        <f t="shared" ca="1" si="42"/>
        <v>123.16221792201388</v>
      </c>
      <c r="EJ27" s="2">
        <f t="shared" ca="1" si="42"/>
        <v>112.16221792201388</v>
      </c>
      <c r="EK27" s="2">
        <f t="shared" ca="1" si="42"/>
        <v>-19.837782077986123</v>
      </c>
      <c r="EL27" s="4">
        <f t="shared" ca="1" si="42"/>
        <v>2.1622179220138769</v>
      </c>
      <c r="EM27" s="2">
        <f t="shared" ca="1" si="43"/>
        <v>15</v>
      </c>
    </row>
    <row r="28" spans="1:143" x14ac:dyDescent="0.3">
      <c r="A28" s="7">
        <f ca="1">RANDBETWEEN(3,4)</f>
        <v>3</v>
      </c>
      <c r="B28" s="2" t="str">
        <f ca="1">VLOOKUP(A28,$A$2:$B$18, 2, FALSE)</f>
        <v>Federer</v>
      </c>
      <c r="DH28" s="2">
        <f t="shared" ca="1" si="45"/>
        <v>17.302878390064979</v>
      </c>
      <c r="DI28" s="2">
        <f t="shared" ca="1" si="46"/>
        <v>45.302878390064983</v>
      </c>
      <c r="DJ28" s="2">
        <f t="shared" ca="1" si="46"/>
        <v>33.302878390064983</v>
      </c>
      <c r="DK28" s="2">
        <f t="shared" ca="1" si="46"/>
        <v>206.30287839006499</v>
      </c>
      <c r="DL28" s="2">
        <f t="shared" ca="1" si="46"/>
        <v>33.302878390064983</v>
      </c>
      <c r="DM28" s="2">
        <f t="shared" ca="1" si="46"/>
        <v>372.30287839006496</v>
      </c>
      <c r="DN28" s="2">
        <f t="shared" ca="1" si="46"/>
        <v>338.30287839006496</v>
      </c>
      <c r="DO28" s="2">
        <f t="shared" ca="1" si="46"/>
        <v>467.30287839006496</v>
      </c>
      <c r="DP28" s="2">
        <f t="shared" ca="1" si="46"/>
        <v>143.30287839006499</v>
      </c>
      <c r="DQ28" s="2">
        <f t="shared" ca="1" si="46"/>
        <v>428.30287839006496</v>
      </c>
      <c r="DR28" s="2">
        <f t="shared" ca="1" si="46"/>
        <v>146.30287839006499</v>
      </c>
      <c r="DS28" s="2">
        <f t="shared" ca="1" si="46"/>
        <v>155.30287839006499</v>
      </c>
      <c r="DT28" s="2">
        <f t="shared" ca="1" si="46"/>
        <v>59.302878390064983</v>
      </c>
      <c r="DU28" s="2">
        <f t="shared" ca="1" si="46"/>
        <v>139.30287839006499</v>
      </c>
      <c r="DV28" s="4">
        <f t="shared" ca="1" si="46"/>
        <v>-8.6971216099350208</v>
      </c>
      <c r="DW28" s="2" t="str">
        <f t="shared" ca="1" si="47"/>
        <v>Federer</v>
      </c>
      <c r="DX28" s="2">
        <f t="shared" ca="1" si="42"/>
        <v>17.302878390064979</v>
      </c>
      <c r="DY28" s="2">
        <f t="shared" ca="1" si="42"/>
        <v>45.302878390064983</v>
      </c>
      <c r="DZ28" s="2">
        <f t="shared" ca="1" si="42"/>
        <v>33.302878390064983</v>
      </c>
      <c r="EA28" s="2">
        <f t="shared" ca="1" si="42"/>
        <v>206.30287839006499</v>
      </c>
      <c r="EB28" s="2">
        <f t="shared" ca="1" si="42"/>
        <v>33.302878390064983</v>
      </c>
      <c r="EC28" s="2">
        <f t="shared" ca="1" si="42"/>
        <v>372.30287839006496</v>
      </c>
      <c r="ED28" s="2">
        <f t="shared" ca="1" si="42"/>
        <v>338.30287839006496</v>
      </c>
      <c r="EE28" s="2">
        <f t="shared" ca="1" si="42"/>
        <v>467.30287839006496</v>
      </c>
      <c r="EF28" s="2">
        <f t="shared" ca="1" si="42"/>
        <v>143.30287839006499</v>
      </c>
      <c r="EG28" s="2">
        <f t="shared" ca="1" si="42"/>
        <v>428.30287839006496</v>
      </c>
      <c r="EH28" s="2">
        <f t="shared" ca="1" si="42"/>
        <v>146.30287839006499</v>
      </c>
      <c r="EI28" s="2">
        <f t="shared" ca="1" si="42"/>
        <v>155.30287839006499</v>
      </c>
      <c r="EJ28" s="2">
        <f t="shared" ca="1" si="42"/>
        <v>59.302878390064983</v>
      </c>
      <c r="EK28" s="2">
        <f t="shared" ca="1" si="42"/>
        <v>139.30287839006499</v>
      </c>
      <c r="EL28" s="2">
        <f t="shared" ca="1" si="42"/>
        <v>-8.6971216099350208</v>
      </c>
      <c r="EM28" s="2">
        <f t="shared" ca="1" si="43"/>
        <v>15</v>
      </c>
    </row>
    <row r="29" spans="1:143" x14ac:dyDescent="0.3">
      <c r="A29" s="7">
        <f ca="1">IF(A28=3, 4, 3)</f>
        <v>4</v>
      </c>
      <c r="B29" s="2" t="str">
        <f ca="1">VLOOKUP(A29,$A$2:$B$18, 2, FALSE)</f>
        <v>Borg</v>
      </c>
      <c r="DH29" s="2">
        <f t="shared" ca="1" si="45"/>
        <v>182.16221792201389</v>
      </c>
      <c r="DI29" s="2">
        <f t="shared" ca="1" si="46"/>
        <v>360.16221792201389</v>
      </c>
      <c r="DJ29" s="2">
        <f t="shared" ca="1" si="46"/>
        <v>439.16221792201389</v>
      </c>
      <c r="DK29" s="2">
        <f t="shared" ca="1" si="46"/>
        <v>145.16221792201389</v>
      </c>
      <c r="DL29" s="2">
        <f t="shared" ca="1" si="46"/>
        <v>495.16221792201389</v>
      </c>
      <c r="DM29" s="2">
        <f t="shared" ca="1" si="46"/>
        <v>495.16221792201389</v>
      </c>
      <c r="DN29" s="2">
        <f t="shared" ca="1" si="46"/>
        <v>480.16221792201389</v>
      </c>
      <c r="DO29" s="2">
        <f t="shared" ca="1" si="46"/>
        <v>362.16221792201389</v>
      </c>
      <c r="DP29" s="2">
        <f t="shared" ca="1" si="46"/>
        <v>11.162217922013884</v>
      </c>
      <c r="DQ29" s="2">
        <f t="shared" ca="1" si="46"/>
        <v>11.162217922013884</v>
      </c>
      <c r="DR29" s="2">
        <f t="shared" ca="1" si="46"/>
        <v>0</v>
      </c>
      <c r="DS29" s="2">
        <f t="shared" ca="1" si="46"/>
        <v>0</v>
      </c>
      <c r="DT29" s="2">
        <f t="shared" ca="1" si="46"/>
        <v>0</v>
      </c>
      <c r="DU29" s="2">
        <f t="shared" ca="1" si="46"/>
        <v>0</v>
      </c>
      <c r="DV29" s="2">
        <f t="shared" ca="1" si="46"/>
        <v>0</v>
      </c>
      <c r="DW29" s="2" t="str">
        <f t="shared" ca="1" si="47"/>
        <v>Borg</v>
      </c>
      <c r="DX29" s="2">
        <f t="shared" ca="1" si="42"/>
        <v>182.16221792201389</v>
      </c>
      <c r="DY29" s="2">
        <f t="shared" ca="1" si="42"/>
        <v>360.16221792201389</v>
      </c>
      <c r="DZ29" s="2">
        <f t="shared" ca="1" si="42"/>
        <v>439.16221792201389</v>
      </c>
      <c r="EA29" s="2">
        <f t="shared" ca="1" si="42"/>
        <v>145.16221792201389</v>
      </c>
      <c r="EB29" s="2">
        <f t="shared" ca="1" si="42"/>
        <v>495.16221792201389</v>
      </c>
      <c r="EC29" s="2">
        <f t="shared" ca="1" si="42"/>
        <v>495.16221792201389</v>
      </c>
      <c r="ED29" s="2">
        <f t="shared" ca="1" si="42"/>
        <v>480.16221792201389</v>
      </c>
      <c r="EE29" s="2">
        <f t="shared" ca="1" si="42"/>
        <v>362.16221792201389</v>
      </c>
      <c r="EF29" s="2">
        <f t="shared" ca="1" si="42"/>
        <v>11.162217922013884</v>
      </c>
      <c r="EG29" s="2">
        <f t="shared" ca="1" si="42"/>
        <v>11.162217922013884</v>
      </c>
      <c r="EH29" s="2" t="str">
        <f t="shared" ca="1" si="42"/>
        <v/>
      </c>
      <c r="EI29" s="2" t="str">
        <f t="shared" ca="1" si="42"/>
        <v/>
      </c>
      <c r="EJ29" s="2" t="str">
        <f t="shared" ca="1" si="42"/>
        <v/>
      </c>
      <c r="EK29" s="2" t="str">
        <f t="shared" ca="1" si="42"/>
        <v/>
      </c>
      <c r="EL29" s="2" t="str">
        <f t="shared" ca="1" si="42"/>
        <v/>
      </c>
      <c r="EM29" s="2">
        <f t="shared" ca="1" si="43"/>
        <v>10</v>
      </c>
    </row>
    <row r="30" spans="1:143" x14ac:dyDescent="0.3">
      <c r="A30" s="6">
        <v>7</v>
      </c>
      <c r="B30" s="2" t="str">
        <f t="shared" ref="B30:B35" ca="1" si="48">VLOOKUP(A30,$E$2:$F$18, 2, FALSE)</f>
        <v>Connors</v>
      </c>
      <c r="DH30" s="2">
        <f t="shared" ca="1" si="45"/>
        <v>289.16221792201389</v>
      </c>
      <c r="DI30" s="2">
        <f t="shared" ca="1" si="46"/>
        <v>256.16221792201389</v>
      </c>
      <c r="DJ30" s="2">
        <f t="shared" ca="1" si="46"/>
        <v>141.16221792201389</v>
      </c>
      <c r="DK30" s="2">
        <f t="shared" ca="1" si="46"/>
        <v>182.16221792201389</v>
      </c>
      <c r="DL30" s="2">
        <f t="shared" ca="1" si="46"/>
        <v>166.16221792201389</v>
      </c>
      <c r="DM30" s="2">
        <f t="shared" ca="1" si="46"/>
        <v>191.16221792201389</v>
      </c>
      <c r="DN30" s="2">
        <f t="shared" ca="1" si="46"/>
        <v>234.16221792201389</v>
      </c>
      <c r="DO30" s="2">
        <f t="shared" ca="1" si="46"/>
        <v>23.162217922013888</v>
      </c>
      <c r="DP30" s="2">
        <f t="shared" ca="1" si="46"/>
        <v>21.162217922013888</v>
      </c>
      <c r="DQ30" s="2">
        <f t="shared" ca="1" si="46"/>
        <v>-28.837782077986112</v>
      </c>
      <c r="DR30" s="2">
        <f t="shared" ca="1" si="46"/>
        <v>-38.837782077986112</v>
      </c>
      <c r="DS30" s="2">
        <f t="shared" ca="1" si="46"/>
        <v>106.16221792201389</v>
      </c>
      <c r="DT30" s="2">
        <f t="shared" ca="1" si="46"/>
        <v>7.1622179220138875</v>
      </c>
      <c r="DU30" s="2">
        <f t="shared" ca="1" si="46"/>
        <v>0</v>
      </c>
      <c r="DV30" s="2">
        <f t="shared" ca="1" si="46"/>
        <v>0</v>
      </c>
      <c r="DW30" s="2" t="str">
        <f t="shared" ca="1" si="47"/>
        <v>Connors</v>
      </c>
      <c r="DX30" s="2">
        <f t="shared" ca="1" si="42"/>
        <v>289.16221792201389</v>
      </c>
      <c r="DY30" s="2">
        <f t="shared" ca="1" si="42"/>
        <v>256.16221792201389</v>
      </c>
      <c r="DZ30" s="2">
        <f t="shared" ca="1" si="42"/>
        <v>141.16221792201389</v>
      </c>
      <c r="EA30" s="2">
        <f t="shared" ca="1" si="42"/>
        <v>182.16221792201389</v>
      </c>
      <c r="EB30" s="2">
        <f t="shared" ca="1" si="42"/>
        <v>166.16221792201389</v>
      </c>
      <c r="EC30" s="2">
        <f t="shared" ca="1" si="42"/>
        <v>191.16221792201389</v>
      </c>
      <c r="ED30" s="2">
        <f t="shared" ca="1" si="42"/>
        <v>234.16221792201389</v>
      </c>
      <c r="EE30" s="2">
        <f t="shared" ca="1" si="42"/>
        <v>23.162217922013888</v>
      </c>
      <c r="EF30" s="2">
        <f t="shared" ca="1" si="42"/>
        <v>21.162217922013888</v>
      </c>
      <c r="EG30" s="2">
        <f t="shared" ca="1" si="42"/>
        <v>-28.837782077986112</v>
      </c>
      <c r="EH30" s="2">
        <f t="shared" ca="1" si="42"/>
        <v>-38.837782077986112</v>
      </c>
      <c r="EI30" s="2">
        <f t="shared" ca="1" si="42"/>
        <v>106.16221792201389</v>
      </c>
      <c r="EJ30" s="2">
        <f t="shared" ca="1" si="42"/>
        <v>7.1622179220138875</v>
      </c>
      <c r="EK30" s="2" t="str">
        <f t="shared" ca="1" si="42"/>
        <v/>
      </c>
      <c r="EL30" s="2" t="str">
        <f t="shared" ca="1" si="42"/>
        <v/>
      </c>
      <c r="EM30" s="2">
        <f t="shared" ca="1" si="43"/>
        <v>13</v>
      </c>
    </row>
    <row r="31" spans="1:143" x14ac:dyDescent="0.3">
      <c r="A31" s="6">
        <v>8</v>
      </c>
      <c r="B31" s="2" t="str">
        <f t="shared" ca="1" si="48"/>
        <v>Murray</v>
      </c>
      <c r="DH31" s="2">
        <f t="shared" ca="1" si="45"/>
        <v>25.227882755363559</v>
      </c>
      <c r="DI31" s="2">
        <f t="shared" ca="1" si="46"/>
        <v>114.22788275536357</v>
      </c>
      <c r="DJ31" s="2">
        <f t="shared" ca="1" si="46"/>
        <v>153.22788275536357</v>
      </c>
      <c r="DK31" s="2">
        <f t="shared" ca="1" si="46"/>
        <v>169.22788275536357</v>
      </c>
      <c r="DL31" s="2">
        <f t="shared" ca="1" si="46"/>
        <v>213.22788275536357</v>
      </c>
      <c r="DM31" s="2">
        <f t="shared" ca="1" si="46"/>
        <v>217.22788275536357</v>
      </c>
      <c r="DN31" s="2">
        <f t="shared" ca="1" si="46"/>
        <v>217.22788275536357</v>
      </c>
      <c r="DO31" s="2">
        <f t="shared" ca="1" si="46"/>
        <v>359.22788275536357</v>
      </c>
      <c r="DP31" s="2">
        <f t="shared" ca="1" si="46"/>
        <v>296.22788275536357</v>
      </c>
      <c r="DQ31" s="2">
        <f t="shared" ca="1" si="46"/>
        <v>-32.772117244636441</v>
      </c>
      <c r="DR31" s="2">
        <f t="shared" ca="1" si="46"/>
        <v>0</v>
      </c>
      <c r="DS31" s="2">
        <f t="shared" ca="1" si="46"/>
        <v>0</v>
      </c>
      <c r="DT31" s="2">
        <f t="shared" ca="1" si="46"/>
        <v>0</v>
      </c>
      <c r="DU31" s="2">
        <f t="shared" ca="1" si="46"/>
        <v>0</v>
      </c>
      <c r="DV31" s="2">
        <f t="shared" ca="1" si="46"/>
        <v>0</v>
      </c>
      <c r="DW31" s="2" t="str">
        <f t="shared" ca="1" si="47"/>
        <v>Murray</v>
      </c>
      <c r="DX31" s="2">
        <f t="shared" ca="1" si="42"/>
        <v>25.227882755363559</v>
      </c>
      <c r="DY31" s="2">
        <f t="shared" ca="1" si="42"/>
        <v>114.22788275536357</v>
      </c>
      <c r="DZ31" s="2">
        <f t="shared" ca="1" si="42"/>
        <v>153.22788275536357</v>
      </c>
      <c r="EA31" s="2">
        <f t="shared" ca="1" si="42"/>
        <v>169.22788275536357</v>
      </c>
      <c r="EB31" s="2">
        <f t="shared" ca="1" si="42"/>
        <v>213.22788275536357</v>
      </c>
      <c r="EC31" s="2">
        <f t="shared" ca="1" si="42"/>
        <v>217.22788275536357</v>
      </c>
      <c r="ED31" s="2">
        <f t="shared" ca="1" si="42"/>
        <v>217.22788275536357</v>
      </c>
      <c r="EE31" s="2">
        <f t="shared" ca="1" si="42"/>
        <v>359.22788275536357</v>
      </c>
      <c r="EF31" s="2">
        <f t="shared" ca="1" si="42"/>
        <v>296.22788275536357</v>
      </c>
      <c r="EG31" s="2">
        <f t="shared" ca="1" si="42"/>
        <v>-32.772117244636441</v>
      </c>
      <c r="EH31" s="2" t="str">
        <f t="shared" ca="1" si="42"/>
        <v/>
      </c>
      <c r="EI31" s="2" t="str">
        <f t="shared" ca="1" si="42"/>
        <v/>
      </c>
      <c r="EJ31" s="2" t="str">
        <f t="shared" ca="1" si="42"/>
        <v/>
      </c>
      <c r="EK31" s="2" t="str">
        <f t="shared" ca="1" si="42"/>
        <v/>
      </c>
      <c r="EL31" s="2" t="str">
        <f t="shared" ca="1" si="42"/>
        <v/>
      </c>
      <c r="EM31" s="2">
        <f t="shared" ca="1" si="43"/>
        <v>10</v>
      </c>
    </row>
    <row r="32" spans="1:143" x14ac:dyDescent="0.3">
      <c r="A32" s="6">
        <v>9</v>
      </c>
      <c r="B32" s="2" t="str">
        <f t="shared" ca="1" si="48"/>
        <v>Wilander</v>
      </c>
      <c r="DH32" s="2">
        <f t="shared" ca="1" si="45"/>
        <v>519.16221792201384</v>
      </c>
      <c r="DI32" s="2">
        <f t="shared" ca="1" si="46"/>
        <v>366.16221792201389</v>
      </c>
      <c r="DJ32" s="2">
        <f t="shared" ca="1" si="46"/>
        <v>280.16221792201389</v>
      </c>
      <c r="DK32" s="2">
        <f t="shared" ca="1" si="46"/>
        <v>507.16221792201389</v>
      </c>
      <c r="DL32" s="2">
        <f t="shared" ca="1" si="46"/>
        <v>31.162217922013888</v>
      </c>
      <c r="DM32" s="2">
        <f t="shared" ca="1" si="46"/>
        <v>415.16221792201389</v>
      </c>
      <c r="DN32" s="2">
        <f t="shared" ca="1" si="46"/>
        <v>476.16221792201389</v>
      </c>
      <c r="DO32" s="2">
        <f t="shared" ca="1" si="46"/>
        <v>64.162217922013895</v>
      </c>
      <c r="DP32" s="2">
        <f t="shared" ca="1" si="46"/>
        <v>-37.837782077986112</v>
      </c>
      <c r="DQ32" s="2">
        <f t="shared" ca="1" si="46"/>
        <v>-7.8377820779861107</v>
      </c>
      <c r="DR32" s="2">
        <f t="shared" ca="1" si="46"/>
        <v>6.1622179220138893</v>
      </c>
      <c r="DS32" s="2">
        <f t="shared" ca="1" si="46"/>
        <v>-3.8377820779861107</v>
      </c>
      <c r="DT32" s="2">
        <f t="shared" ca="1" si="46"/>
        <v>0</v>
      </c>
      <c r="DU32" s="2">
        <f t="shared" ca="1" si="46"/>
        <v>0</v>
      </c>
      <c r="DV32" s="2">
        <f t="shared" ca="1" si="46"/>
        <v>0</v>
      </c>
      <c r="DW32" s="2" t="str">
        <f t="shared" ca="1" si="47"/>
        <v>Wilander</v>
      </c>
      <c r="DX32" s="2">
        <f t="shared" ca="1" si="42"/>
        <v>519.16221792201384</v>
      </c>
      <c r="DY32" s="2">
        <f t="shared" ca="1" si="42"/>
        <v>366.16221792201389</v>
      </c>
      <c r="DZ32" s="2">
        <f t="shared" ca="1" si="42"/>
        <v>280.16221792201389</v>
      </c>
      <c r="EA32" s="2">
        <f t="shared" ca="1" si="42"/>
        <v>507.16221792201389</v>
      </c>
      <c r="EB32" s="2">
        <f t="shared" ca="1" si="42"/>
        <v>31.162217922013888</v>
      </c>
      <c r="EC32" s="2">
        <f t="shared" ca="1" si="42"/>
        <v>415.16221792201389</v>
      </c>
      <c r="ED32" s="2">
        <f t="shared" ca="1" si="42"/>
        <v>476.16221792201389</v>
      </c>
      <c r="EE32" s="2">
        <f t="shared" ca="1" si="42"/>
        <v>64.162217922013895</v>
      </c>
      <c r="EF32" s="2">
        <f t="shared" ca="1" si="42"/>
        <v>-37.837782077986112</v>
      </c>
      <c r="EG32" s="2">
        <f t="shared" ca="1" si="42"/>
        <v>-7.8377820779861107</v>
      </c>
      <c r="EH32" s="2">
        <f t="shared" ca="1" si="42"/>
        <v>6.1622179220138893</v>
      </c>
      <c r="EI32" s="2">
        <f t="shared" ca="1" si="42"/>
        <v>-3.8377820779861107</v>
      </c>
      <c r="EJ32" s="2" t="str">
        <f t="shared" ca="1" si="42"/>
        <v/>
      </c>
      <c r="EK32" s="2" t="str">
        <f t="shared" ca="1" si="42"/>
        <v/>
      </c>
      <c r="EL32" s="2" t="str">
        <f t="shared" ca="1" si="42"/>
        <v/>
      </c>
      <c r="EM32" s="2">
        <f t="shared" ca="1" si="43"/>
        <v>12</v>
      </c>
    </row>
    <row r="33" spans="1:143" x14ac:dyDescent="0.3">
      <c r="A33" s="6">
        <v>10</v>
      </c>
      <c r="B33" s="2" t="str">
        <f t="shared" ca="1" si="48"/>
        <v>Edberg</v>
      </c>
      <c r="DH33" s="2">
        <f t="shared" ca="1" si="45"/>
        <v>58.16221792201388</v>
      </c>
      <c r="DI33" s="2">
        <f t="shared" ca="1" si="46"/>
        <v>176.16221792201389</v>
      </c>
      <c r="DJ33" s="2">
        <f t="shared" ca="1" si="46"/>
        <v>-14.837782077986116</v>
      </c>
      <c r="DK33" s="2">
        <f t="shared" ca="1" si="46"/>
        <v>-86.83778207798612</v>
      </c>
      <c r="DL33" s="2">
        <f t="shared" ca="1" si="46"/>
        <v>59.16221792201388</v>
      </c>
      <c r="DM33" s="2">
        <f t="shared" ca="1" si="46"/>
        <v>270.16221792201389</v>
      </c>
      <c r="DN33" s="2">
        <f t="shared" ca="1" si="46"/>
        <v>-34.83778207798612</v>
      </c>
      <c r="DO33" s="2">
        <f t="shared" ca="1" si="46"/>
        <v>241.16221792201389</v>
      </c>
      <c r="DP33" s="2">
        <f t="shared" ca="1" si="46"/>
        <v>30.162217922013884</v>
      </c>
      <c r="DQ33" s="2">
        <f t="shared" ca="1" si="46"/>
        <v>138.16221792201389</v>
      </c>
      <c r="DR33" s="2">
        <f t="shared" ca="1" si="46"/>
        <v>-25.837782077986116</v>
      </c>
      <c r="DS33" s="2">
        <f t="shared" ca="1" si="46"/>
        <v>21.162217922013884</v>
      </c>
      <c r="DT33" s="2">
        <f t="shared" ca="1" si="46"/>
        <v>220.16221792201389</v>
      </c>
      <c r="DU33" s="2">
        <f t="shared" ca="1" si="46"/>
        <v>0</v>
      </c>
      <c r="DV33" s="2">
        <f t="shared" ca="1" si="46"/>
        <v>0</v>
      </c>
      <c r="DW33" s="2" t="str">
        <f t="shared" ca="1" si="47"/>
        <v>Edberg</v>
      </c>
      <c r="DX33" s="2">
        <f t="shared" ca="1" si="42"/>
        <v>58.16221792201388</v>
      </c>
      <c r="DY33" s="2">
        <f t="shared" ca="1" si="42"/>
        <v>176.16221792201389</v>
      </c>
      <c r="DZ33" s="2">
        <f t="shared" ca="1" si="42"/>
        <v>-14.837782077986116</v>
      </c>
      <c r="EA33" s="2">
        <f t="shared" ca="1" si="42"/>
        <v>-86.83778207798612</v>
      </c>
      <c r="EB33" s="2">
        <f t="shared" ca="1" si="42"/>
        <v>59.16221792201388</v>
      </c>
      <c r="EC33" s="2">
        <f t="shared" ca="1" si="42"/>
        <v>270.16221792201389</v>
      </c>
      <c r="ED33" s="2">
        <f t="shared" ca="1" si="42"/>
        <v>-34.83778207798612</v>
      </c>
      <c r="EE33" s="2">
        <f t="shared" ca="1" si="42"/>
        <v>241.16221792201389</v>
      </c>
      <c r="EF33" s="2">
        <f t="shared" ca="1" si="42"/>
        <v>30.162217922013884</v>
      </c>
      <c r="EG33" s="2">
        <f t="shared" ca="1" si="42"/>
        <v>138.16221792201389</v>
      </c>
      <c r="EH33" s="2">
        <f t="shared" ca="1" si="42"/>
        <v>-25.837782077986116</v>
      </c>
      <c r="EI33" s="2">
        <f t="shared" ca="1" si="42"/>
        <v>21.162217922013884</v>
      </c>
      <c r="EJ33" s="2">
        <f t="shared" ca="1" si="42"/>
        <v>220.16221792201389</v>
      </c>
      <c r="EK33" s="2" t="str">
        <f t="shared" ca="1" si="42"/>
        <v/>
      </c>
      <c r="EL33" s="2" t="str">
        <f t="shared" ca="1" si="42"/>
        <v/>
      </c>
      <c r="EM33" s="2">
        <f t="shared" ca="1" si="43"/>
        <v>13</v>
      </c>
    </row>
    <row r="34" spans="1:143" x14ac:dyDescent="0.3">
      <c r="A34" s="6">
        <v>11</v>
      </c>
      <c r="B34" s="2" t="str">
        <f t="shared" ca="1" si="48"/>
        <v>Becker</v>
      </c>
      <c r="DH34" s="2">
        <f t="shared" ca="1" si="45"/>
        <v>84.162217922013895</v>
      </c>
      <c r="DI34" s="2">
        <f t="shared" ca="1" si="46"/>
        <v>164.16221792201389</v>
      </c>
      <c r="DJ34" s="2">
        <f t="shared" ca="1" si="46"/>
        <v>238.16221792201389</v>
      </c>
      <c r="DK34" s="2">
        <f t="shared" ca="1" si="46"/>
        <v>147.16221792201389</v>
      </c>
      <c r="DL34" s="2">
        <f t="shared" ca="1" si="46"/>
        <v>211.16221792201389</v>
      </c>
      <c r="DM34" s="2">
        <f t="shared" ca="1" si="46"/>
        <v>326.16221792201389</v>
      </c>
      <c r="DN34" s="2">
        <f t="shared" ca="1" si="46"/>
        <v>-39.837782077986105</v>
      </c>
      <c r="DO34" s="2">
        <f t="shared" ca="1" si="46"/>
        <v>-83.837782077986105</v>
      </c>
      <c r="DP34" s="2">
        <f t="shared" ca="1" si="46"/>
        <v>-4.8377820779861072</v>
      </c>
      <c r="DQ34" s="2">
        <f t="shared" ca="1" si="46"/>
        <v>11.162217922013893</v>
      </c>
      <c r="DR34" s="2">
        <f t="shared" ca="1" si="46"/>
        <v>0</v>
      </c>
      <c r="DS34" s="2">
        <f t="shared" ca="1" si="46"/>
        <v>0</v>
      </c>
      <c r="DT34" s="2">
        <f t="shared" ca="1" si="46"/>
        <v>0</v>
      </c>
      <c r="DU34" s="2">
        <f t="shared" ca="1" si="46"/>
        <v>0</v>
      </c>
      <c r="DV34" s="2">
        <f t="shared" ca="1" si="46"/>
        <v>0</v>
      </c>
      <c r="DW34" s="2" t="str">
        <f t="shared" ca="1" si="47"/>
        <v>Becker</v>
      </c>
      <c r="DX34" s="2">
        <f t="shared" ca="1" si="42"/>
        <v>84.162217922013895</v>
      </c>
      <c r="DY34" s="2">
        <f t="shared" ca="1" si="42"/>
        <v>164.16221792201389</v>
      </c>
      <c r="DZ34" s="2">
        <f t="shared" ca="1" si="42"/>
        <v>238.16221792201389</v>
      </c>
      <c r="EA34" s="2">
        <f t="shared" ca="1" si="42"/>
        <v>147.16221792201389</v>
      </c>
      <c r="EB34" s="2">
        <f t="shared" ca="1" si="42"/>
        <v>211.16221792201389</v>
      </c>
      <c r="EC34" s="2">
        <f t="shared" ca="1" si="42"/>
        <v>326.16221792201389</v>
      </c>
      <c r="ED34" s="2">
        <f t="shared" ca="1" si="42"/>
        <v>-39.837782077986105</v>
      </c>
      <c r="EE34" s="2">
        <f t="shared" ca="1" si="42"/>
        <v>-83.837782077986105</v>
      </c>
      <c r="EF34" s="2">
        <f t="shared" ca="1" si="42"/>
        <v>-4.8377820779861072</v>
      </c>
      <c r="EG34" s="2">
        <f t="shared" ca="1" si="42"/>
        <v>11.162217922013893</v>
      </c>
      <c r="EH34" s="2" t="str">
        <f t="shared" ca="1" si="42"/>
        <v/>
      </c>
      <c r="EI34" s="2" t="str">
        <f t="shared" ca="1" si="42"/>
        <v/>
      </c>
      <c r="EJ34" s="2" t="str">
        <f t="shared" ca="1" si="42"/>
        <v/>
      </c>
      <c r="EK34" s="2" t="str">
        <f t="shared" ca="1" si="42"/>
        <v/>
      </c>
      <c r="EL34" s="2" t="str">
        <f t="shared" ca="1" si="42"/>
        <v/>
      </c>
      <c r="EM34" s="2">
        <f t="shared" ca="1" si="43"/>
        <v>10</v>
      </c>
    </row>
    <row r="35" spans="1:143" x14ac:dyDescent="0.3">
      <c r="A35" s="6">
        <v>12</v>
      </c>
      <c r="B35" s="2" t="str">
        <f t="shared" ca="1" si="48"/>
        <v>Lendl</v>
      </c>
      <c r="DH35" s="2">
        <f t="shared" ca="1" si="45"/>
        <v>136.16221792201389</v>
      </c>
      <c r="DI35" s="2">
        <f t="shared" ca="1" si="46"/>
        <v>34.162217922013888</v>
      </c>
      <c r="DJ35" s="2">
        <f t="shared" ca="1" si="46"/>
        <v>430.16221792201389</v>
      </c>
      <c r="DK35" s="2">
        <f t="shared" ca="1" si="46"/>
        <v>49.162217922013888</v>
      </c>
      <c r="DL35" s="2">
        <f t="shared" ca="1" si="46"/>
        <v>149.16221792201389</v>
      </c>
      <c r="DM35" s="2">
        <f t="shared" ca="1" si="46"/>
        <v>525.16221792201384</v>
      </c>
      <c r="DN35" s="2">
        <f t="shared" ca="1" si="46"/>
        <v>345.16221792201389</v>
      </c>
      <c r="DO35" s="2">
        <f t="shared" ca="1" si="46"/>
        <v>409.16221792201389</v>
      </c>
      <c r="DP35" s="2">
        <f t="shared" ca="1" si="46"/>
        <v>554.16221792201384</v>
      </c>
      <c r="DQ35" s="2">
        <f t="shared" ca="1" si="46"/>
        <v>128.16221792201389</v>
      </c>
      <c r="DR35" s="2">
        <f t="shared" ca="1" si="46"/>
        <v>177.16221792201389</v>
      </c>
      <c r="DS35" s="2">
        <f t="shared" ca="1" si="46"/>
        <v>18.162217922013888</v>
      </c>
      <c r="DT35" s="2">
        <f t="shared" ca="1" si="46"/>
        <v>-87.837782077986105</v>
      </c>
      <c r="DU35" s="2">
        <f t="shared" ca="1" si="46"/>
        <v>-87.837782077986105</v>
      </c>
      <c r="DV35" s="2">
        <f t="shared" ca="1" si="46"/>
        <v>-5.8377820779861125</v>
      </c>
      <c r="DW35" s="2" t="str">
        <f t="shared" ca="1" si="47"/>
        <v>Lendl</v>
      </c>
      <c r="DX35" s="2">
        <f t="shared" ca="1" si="42"/>
        <v>136.16221792201389</v>
      </c>
      <c r="DY35" s="2">
        <f t="shared" ca="1" si="42"/>
        <v>34.162217922013888</v>
      </c>
      <c r="DZ35" s="2">
        <f t="shared" ca="1" si="42"/>
        <v>430.16221792201389</v>
      </c>
      <c r="EA35" s="2">
        <f t="shared" ca="1" si="42"/>
        <v>49.162217922013888</v>
      </c>
      <c r="EB35" s="2">
        <f t="shared" ca="1" si="42"/>
        <v>149.16221792201389</v>
      </c>
      <c r="EC35" s="2">
        <f t="shared" ca="1" si="42"/>
        <v>525.16221792201384</v>
      </c>
      <c r="ED35" s="2">
        <f t="shared" ca="1" si="42"/>
        <v>345.16221792201389</v>
      </c>
      <c r="EE35" s="2">
        <f t="shared" ca="1" si="42"/>
        <v>409.16221792201389</v>
      </c>
      <c r="EF35" s="2">
        <f t="shared" ca="1" si="42"/>
        <v>554.16221792201384</v>
      </c>
      <c r="EG35" s="2">
        <f t="shared" ca="1" si="42"/>
        <v>128.16221792201389</v>
      </c>
      <c r="EH35" s="2">
        <f t="shared" ca="1" si="42"/>
        <v>177.16221792201389</v>
      </c>
      <c r="EI35" s="2">
        <f t="shared" ca="1" si="42"/>
        <v>18.162217922013888</v>
      </c>
      <c r="EJ35" s="2">
        <f t="shared" ca="1" si="42"/>
        <v>-87.837782077986105</v>
      </c>
      <c r="EK35" s="2">
        <f t="shared" ca="1" si="42"/>
        <v>-87.837782077986105</v>
      </c>
      <c r="EL35" s="2">
        <f t="shared" ca="1" si="42"/>
        <v>-5.8377820779861125</v>
      </c>
      <c r="EM35" s="2">
        <f t="shared" ca="1" si="43"/>
        <v>15</v>
      </c>
    </row>
    <row r="36" spans="1:143" x14ac:dyDescent="0.3">
      <c r="A36" s="2">
        <v>2</v>
      </c>
      <c r="B36" s="2" t="str">
        <f>VLOOKUP(A36,$A$2:$B$18, 2, FALSE)</f>
        <v>Djokovic</v>
      </c>
      <c r="DH36" s="2">
        <f t="shared" si="45"/>
        <v>13.227882755363579</v>
      </c>
      <c r="DI36" s="2">
        <f t="shared" si="46"/>
        <v>297.22788275536357</v>
      </c>
      <c r="DJ36" s="2">
        <f t="shared" si="46"/>
        <v>83.227882755363581</v>
      </c>
      <c r="DK36" s="2">
        <f t="shared" si="46"/>
        <v>152.22788275536357</v>
      </c>
      <c r="DL36" s="2">
        <f t="shared" si="46"/>
        <v>79.227882755363581</v>
      </c>
      <c r="DM36" s="2">
        <f t="shared" si="46"/>
        <v>79.227882755363581</v>
      </c>
      <c r="DN36" s="2">
        <f t="shared" si="46"/>
        <v>295.22788275536357</v>
      </c>
      <c r="DO36" s="2">
        <f t="shared" si="46"/>
        <v>314.22788275536357</v>
      </c>
      <c r="DP36" s="2">
        <f t="shared" si="46"/>
        <v>471.22788275536357</v>
      </c>
      <c r="DQ36" s="2">
        <f t="shared" si="46"/>
        <v>344.22788275536357</v>
      </c>
      <c r="DR36" s="2">
        <f t="shared" si="46"/>
        <v>446.22788275536357</v>
      </c>
      <c r="DS36" s="2">
        <f t="shared" si="46"/>
        <v>200.22788275536357</v>
      </c>
      <c r="DT36" s="2">
        <f t="shared" si="46"/>
        <v>89.227882755363581</v>
      </c>
      <c r="DU36" s="2">
        <f t="shared" si="46"/>
        <v>0</v>
      </c>
      <c r="DV36" s="2">
        <f t="shared" si="46"/>
        <v>0</v>
      </c>
      <c r="DW36" s="2" t="str">
        <f t="shared" si="47"/>
        <v>Djokovic</v>
      </c>
      <c r="DX36" s="2">
        <f t="shared" si="42"/>
        <v>13.227882755363579</v>
      </c>
      <c r="DY36" s="2">
        <f t="shared" si="42"/>
        <v>297.22788275536357</v>
      </c>
      <c r="DZ36" s="2">
        <f t="shared" si="42"/>
        <v>83.227882755363581</v>
      </c>
      <c r="EA36" s="2">
        <f t="shared" si="42"/>
        <v>152.22788275536357</v>
      </c>
      <c r="EB36" s="2">
        <f t="shared" si="42"/>
        <v>79.227882755363581</v>
      </c>
      <c r="EC36" s="2">
        <f t="shared" si="42"/>
        <v>79.227882755363581</v>
      </c>
      <c r="ED36" s="2">
        <f t="shared" si="42"/>
        <v>295.22788275536357</v>
      </c>
      <c r="EE36" s="2">
        <f t="shared" si="42"/>
        <v>314.22788275536357</v>
      </c>
      <c r="EF36" s="2">
        <f t="shared" si="42"/>
        <v>471.22788275536357</v>
      </c>
      <c r="EG36" s="2">
        <f t="shared" si="42"/>
        <v>344.22788275536357</v>
      </c>
      <c r="EH36" s="2">
        <f t="shared" si="42"/>
        <v>446.22788275536357</v>
      </c>
      <c r="EI36" s="2">
        <f t="shared" si="42"/>
        <v>200.22788275536357</v>
      </c>
      <c r="EJ36" s="2">
        <f t="shared" si="42"/>
        <v>89.227882755363581</v>
      </c>
      <c r="EK36" s="2" t="str">
        <f t="shared" si="42"/>
        <v/>
      </c>
      <c r="EL36" s="2" t="str">
        <f t="shared" si="42"/>
        <v/>
      </c>
      <c r="EM36" s="2">
        <f t="shared" si="43"/>
        <v>13</v>
      </c>
    </row>
  </sheetData>
  <mergeCells count="2">
    <mergeCell ref="A1:B1"/>
    <mergeCell ref="A6:B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0"/>
  <sheetViews>
    <sheetView topLeftCell="M1" workbookViewId="0">
      <selection activeCell="AA16" sqref="AA16"/>
    </sheetView>
  </sheetViews>
  <sheetFormatPr defaultColWidth="10.796875" defaultRowHeight="15.6" x14ac:dyDescent="0.3"/>
  <cols>
    <col min="1" max="1" width="7.19921875" style="2" hidden="1" customWidth="1"/>
    <col min="2" max="2" width="2.296875" style="2" customWidth="1"/>
    <col min="3" max="3" width="10.796875" style="2"/>
    <col min="4" max="7" width="10.796875" style="2" hidden="1" customWidth="1"/>
    <col min="8" max="8" width="10.796875" style="2"/>
    <col min="9" max="12" width="10.796875" style="2" hidden="1" customWidth="1"/>
    <col min="13" max="13" width="10.796875" style="2"/>
    <col min="14" max="17" width="10.796875" style="2" hidden="1" customWidth="1"/>
    <col min="18" max="18" width="10.796875" style="2"/>
    <col min="19" max="22" width="10.796875" style="2" hidden="1" customWidth="1"/>
    <col min="23" max="24" width="10.796875" style="2"/>
    <col min="25" max="40" width="8.69921875" style="2" customWidth="1"/>
    <col min="41" max="16384" width="10.796875" style="2"/>
  </cols>
  <sheetData>
    <row r="1" spans="1:41" x14ac:dyDescent="0.3">
      <c r="A1" s="2" t="s">
        <v>2</v>
      </c>
      <c r="D1" s="2" t="s">
        <v>3</v>
      </c>
      <c r="Y1" s="2" t="str">
        <f t="array" ref="Y1:AB1">TRANSPOSE('Australian Open'!B2:B5)</f>
        <v>Federer</v>
      </c>
      <c r="Z1" s="2" t="str">
        <v>Djokovic</v>
      </c>
      <c r="AA1" s="2" t="str">
        <v>Nadal</v>
      </c>
      <c r="AB1" s="2" t="str">
        <v>Agassi</v>
      </c>
      <c r="AC1" s="2" t="str">
        <f t="array" ref="AC1:AN1">TRANSPOSE('Australian Open'!B7:B18)</f>
        <v>Lendl</v>
      </c>
      <c r="AD1" s="2" t="str">
        <v>Murray</v>
      </c>
      <c r="AE1" s="2" t="str">
        <v>Edberg</v>
      </c>
      <c r="AF1" s="2" t="str">
        <v>Sampras</v>
      </c>
      <c r="AG1" s="2" t="str">
        <v>Wilander</v>
      </c>
      <c r="AH1" s="2" t="str">
        <v>Courier</v>
      </c>
      <c r="AI1" s="2" t="str">
        <v>Wawrinka</v>
      </c>
      <c r="AJ1" s="2" t="str">
        <v>Vilas</v>
      </c>
      <c r="AK1" s="2" t="str">
        <v>Becker</v>
      </c>
      <c r="AL1" s="2" t="str">
        <v>McEnroe</v>
      </c>
      <c r="AM1" s="2" t="str">
        <v>Connors</v>
      </c>
      <c r="AN1" s="2" t="str">
        <v>Borg</v>
      </c>
      <c r="AO1" s="2" t="s">
        <v>21</v>
      </c>
    </row>
    <row r="2" spans="1:41" x14ac:dyDescent="0.3">
      <c r="Y2" s="2">
        <f t="shared" ref="Y2:AO2" ca="1" si="0">IF(Y1=$X$14,1,0)</f>
        <v>0</v>
      </c>
      <c r="Z2" s="2">
        <f t="shared" ca="1" si="0"/>
        <v>0</v>
      </c>
      <c r="AA2" s="2">
        <f t="shared" ca="1" si="0"/>
        <v>1</v>
      </c>
      <c r="AB2" s="2">
        <f t="shared" ca="1" si="0"/>
        <v>0</v>
      </c>
      <c r="AC2" s="2">
        <f t="shared" ca="1" si="0"/>
        <v>0</v>
      </c>
      <c r="AD2" s="2">
        <f t="shared" ca="1" si="0"/>
        <v>0</v>
      </c>
      <c r="AE2" s="2">
        <f t="shared" ca="1" si="0"/>
        <v>0</v>
      </c>
      <c r="AF2" s="2">
        <f t="shared" ca="1" si="0"/>
        <v>0</v>
      </c>
      <c r="AG2" s="2">
        <f t="shared" ca="1" si="0"/>
        <v>0</v>
      </c>
      <c r="AH2" s="2">
        <f t="shared" ca="1" si="0"/>
        <v>0</v>
      </c>
      <c r="AI2" s="2">
        <f t="shared" ca="1" si="0"/>
        <v>0</v>
      </c>
      <c r="AJ2" s="2">
        <f t="shared" ca="1" si="0"/>
        <v>0</v>
      </c>
      <c r="AK2" s="2">
        <f t="shared" ca="1" si="0"/>
        <v>0</v>
      </c>
      <c r="AL2" s="2">
        <f t="shared" ca="1" si="0"/>
        <v>0</v>
      </c>
      <c r="AM2" s="2">
        <f t="shared" ca="1" si="0"/>
        <v>0</v>
      </c>
      <c r="AN2" s="2">
        <f t="shared" ca="1" si="0"/>
        <v>0</v>
      </c>
      <c r="AO2" s="2">
        <f t="shared" ca="1" si="0"/>
        <v>0</v>
      </c>
    </row>
    <row r="3" spans="1:41" x14ac:dyDescent="0.3">
      <c r="Y3" s="2">
        <v>81</v>
      </c>
      <c r="Z3" s="2">
        <v>154</v>
      </c>
      <c r="AA3" s="2">
        <v>1049</v>
      </c>
      <c r="AB3" s="2">
        <v>16</v>
      </c>
      <c r="AC3" s="2">
        <v>70</v>
      </c>
      <c r="AD3" s="2">
        <v>67</v>
      </c>
      <c r="AE3" s="2">
        <v>9</v>
      </c>
      <c r="AF3" s="2">
        <v>0</v>
      </c>
      <c r="AG3" s="2">
        <v>100</v>
      </c>
      <c r="AH3" s="2">
        <v>47</v>
      </c>
      <c r="AI3" s="2">
        <v>31</v>
      </c>
      <c r="AJ3" s="2">
        <v>62</v>
      </c>
      <c r="AK3" s="2">
        <v>17</v>
      </c>
      <c r="AL3" s="2">
        <v>7</v>
      </c>
      <c r="AM3" s="2">
        <v>28</v>
      </c>
      <c r="AN3" s="2">
        <v>261</v>
      </c>
      <c r="AO3" s="2">
        <v>10</v>
      </c>
    </row>
    <row r="4" spans="1:41" x14ac:dyDescent="0.3">
      <c r="X4" s="2">
        <f ca="1">SUM(Y4:AN4)</f>
        <v>2000</v>
      </c>
      <c r="Y4" s="2">
        <f ca="1">Y2+Y3</f>
        <v>81</v>
      </c>
      <c r="Z4" s="2">
        <f t="shared" ref="Z4:AO4" ca="1" si="1">Z2+Z3</f>
        <v>154</v>
      </c>
      <c r="AA4" s="2">
        <f t="shared" ca="1" si="1"/>
        <v>1050</v>
      </c>
      <c r="AB4" s="2">
        <f t="shared" ca="1" si="1"/>
        <v>16</v>
      </c>
      <c r="AC4" s="2">
        <f t="shared" ca="1" si="1"/>
        <v>70</v>
      </c>
      <c r="AD4" s="2">
        <f t="shared" ca="1" si="1"/>
        <v>67</v>
      </c>
      <c r="AE4" s="2">
        <f t="shared" ca="1" si="1"/>
        <v>9</v>
      </c>
      <c r="AF4" s="2">
        <f t="shared" ca="1" si="1"/>
        <v>0</v>
      </c>
      <c r="AG4" s="2">
        <f t="shared" ca="1" si="1"/>
        <v>100</v>
      </c>
      <c r="AH4" s="2">
        <f t="shared" ca="1" si="1"/>
        <v>47</v>
      </c>
      <c r="AI4" s="2">
        <f t="shared" ca="1" si="1"/>
        <v>31</v>
      </c>
      <c r="AJ4" s="2">
        <f t="shared" ca="1" si="1"/>
        <v>62</v>
      </c>
      <c r="AK4" s="2">
        <f t="shared" ca="1" si="1"/>
        <v>17</v>
      </c>
      <c r="AL4" s="2">
        <f t="shared" ca="1" si="1"/>
        <v>7</v>
      </c>
      <c r="AM4" s="2">
        <f t="shared" ca="1" si="1"/>
        <v>28</v>
      </c>
      <c r="AN4" s="2">
        <f t="shared" ca="1" si="1"/>
        <v>261</v>
      </c>
      <c r="AO4" s="2">
        <f t="shared" ca="1" si="1"/>
        <v>10</v>
      </c>
    </row>
    <row r="5" spans="1:41" x14ac:dyDescent="0.3">
      <c r="A5" s="2">
        <v>2</v>
      </c>
      <c r="B5" s="2">
        <f>'French Open'!A21</f>
        <v>1</v>
      </c>
      <c r="C5" s="2" t="str">
        <f>'French Open'!B21</f>
        <v>Nadal</v>
      </c>
      <c r="D5" s="2">
        <f>A5</f>
        <v>2</v>
      </c>
      <c r="E5" s="2">
        <f ca="1">RANDBETWEEN(1,F5)</f>
        <v>1</v>
      </c>
      <c r="F5" s="2">
        <f>VLOOKUP(C5,'French Open'!DW21:EM36, 17, FALSE)</f>
        <v>14</v>
      </c>
      <c r="G5" s="4">
        <f ca="1">HLOOKUP(E5, 'French Open'!$DX$20:$EL$36,$A5, FALSE)</f>
        <v>489.22788275536357</v>
      </c>
      <c r="Y5" s="9">
        <f ca="1">Y4/$X$4</f>
        <v>4.0500000000000001E-2</v>
      </c>
      <c r="Z5" s="9">
        <f t="shared" ref="Z5:AO5" ca="1" si="2">Z4/$X$4</f>
        <v>7.6999999999999999E-2</v>
      </c>
      <c r="AA5" s="9">
        <f t="shared" ca="1" si="2"/>
        <v>0.52500000000000002</v>
      </c>
      <c r="AB5" s="9">
        <f t="shared" ca="1" si="2"/>
        <v>8.0000000000000002E-3</v>
      </c>
      <c r="AC5" s="9">
        <f t="shared" ca="1" si="2"/>
        <v>3.5000000000000003E-2</v>
      </c>
      <c r="AD5" s="9">
        <f t="shared" ca="1" si="2"/>
        <v>3.3500000000000002E-2</v>
      </c>
      <c r="AE5" s="9">
        <f t="shared" ca="1" si="2"/>
        <v>4.4999999999999997E-3</v>
      </c>
      <c r="AF5" s="9">
        <f t="shared" ca="1" si="2"/>
        <v>0</v>
      </c>
      <c r="AG5" s="9">
        <f t="shared" ca="1" si="2"/>
        <v>0.05</v>
      </c>
      <c r="AH5" s="9">
        <f t="shared" ca="1" si="2"/>
        <v>2.35E-2</v>
      </c>
      <c r="AI5" s="9">
        <f t="shared" ca="1" si="2"/>
        <v>1.55E-2</v>
      </c>
      <c r="AJ5" s="9">
        <f t="shared" ca="1" si="2"/>
        <v>3.1E-2</v>
      </c>
      <c r="AK5" s="9">
        <f t="shared" ca="1" si="2"/>
        <v>8.5000000000000006E-3</v>
      </c>
      <c r="AL5" s="9">
        <f t="shared" ca="1" si="2"/>
        <v>3.5000000000000001E-3</v>
      </c>
      <c r="AM5" s="9">
        <f t="shared" ca="1" si="2"/>
        <v>1.4E-2</v>
      </c>
      <c r="AN5" s="9">
        <f t="shared" ca="1" si="2"/>
        <v>0.1305</v>
      </c>
      <c r="AO5" s="9">
        <f t="shared" ca="1" si="2"/>
        <v>5.0000000000000001E-3</v>
      </c>
    </row>
    <row r="6" spans="1:41" x14ac:dyDescent="0.3">
      <c r="A6" s="2">
        <v>3</v>
      </c>
      <c r="B6" s="5">
        <f>'French Open'!A22</f>
        <v>1</v>
      </c>
      <c r="C6" s="2" t="str">
        <f ca="1">'French Open'!B22</f>
        <v>Courier</v>
      </c>
      <c r="D6" s="2">
        <f t="shared" ref="D6:D20" si="3">A6</f>
        <v>3</v>
      </c>
      <c r="E6" s="2">
        <f t="shared" ref="E6:E20" ca="1" si="4">RANDBETWEEN(1,F6)</f>
        <v>10</v>
      </c>
      <c r="F6" s="2">
        <f ca="1">VLOOKUP(C6,'French Open'!DW22:EM37, 17, FALSE)</f>
        <v>11</v>
      </c>
      <c r="G6" s="4">
        <f ca="1">HLOOKUP(E6, 'French Open'!$DX$20:$EL$36,$A6, FALSE)</f>
        <v>-30.837782077986112</v>
      </c>
      <c r="H6" s="2" t="str">
        <f ca="1">IF(G5&gt;G6, C5, C6)</f>
        <v>Nadal</v>
      </c>
      <c r="I6" s="2">
        <f ca="1">VLOOKUP(H6, $C$5:$D$20, 2, FALSE)</f>
        <v>2</v>
      </c>
      <c r="J6" s="2">
        <f ca="1">RANDBETWEEN(1,K6)</f>
        <v>2</v>
      </c>
      <c r="K6" s="2">
        <f ca="1">VLOOKUP(H6, $C$5:$F$20, 4, FALSE)</f>
        <v>14</v>
      </c>
      <c r="L6" s="4">
        <f ca="1">HLOOKUP(J6, 'French Open'!$DX$20:$EL$36,I6, FALSE)</f>
        <v>445.22788275536357</v>
      </c>
    </row>
    <row r="7" spans="1:41" x14ac:dyDescent="0.3">
      <c r="A7" s="2">
        <v>4</v>
      </c>
      <c r="B7" s="5">
        <f>'French Open'!A23</f>
        <v>2</v>
      </c>
      <c r="C7" s="2" t="str">
        <f ca="1">'French Open'!B23</f>
        <v>McEnroe</v>
      </c>
      <c r="D7" s="2">
        <f t="shared" si="3"/>
        <v>4</v>
      </c>
      <c r="E7" s="2">
        <f t="shared" ca="1" si="4"/>
        <v>6</v>
      </c>
      <c r="F7" s="2">
        <f ca="1">VLOOKUP(C7,'French Open'!DW23:EM38, 17, FALSE)</f>
        <v>10</v>
      </c>
      <c r="G7" s="4">
        <f ca="1">HLOOKUP(E7, 'French Open'!$DX$20:$EL$36,$A7, FALSE)</f>
        <v>-10.837782077986109</v>
      </c>
      <c r="H7" s="2" t="str">
        <f ca="1">IF(G7&gt;G8, C7, C8)</f>
        <v>Agassi</v>
      </c>
      <c r="I7" s="2">
        <f ca="1">VLOOKUP(H7, $C$5:$D$20, 2, FALSE)</f>
        <v>5</v>
      </c>
      <c r="J7" s="2">
        <f ca="1">RANDBETWEEN(1,K7)</f>
        <v>15</v>
      </c>
      <c r="K7" s="2">
        <f ca="1">VLOOKUP(H7, $C$5:$F$20, 4, FALSE)</f>
        <v>15</v>
      </c>
      <c r="L7" s="4">
        <f ca="1">HLOOKUP(J7, 'French Open'!$DX$20:$EL$36,I7, FALSE)</f>
        <v>-89.114564009675561</v>
      </c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</row>
    <row r="8" spans="1:41" x14ac:dyDescent="0.3">
      <c r="A8" s="2">
        <v>5</v>
      </c>
      <c r="B8" s="5">
        <f>'French Open'!A24</f>
        <v>3</v>
      </c>
      <c r="C8" s="2" t="str">
        <f ca="1">'French Open'!B24</f>
        <v>Agassi</v>
      </c>
      <c r="D8" s="2">
        <f t="shared" si="3"/>
        <v>5</v>
      </c>
      <c r="E8" s="2">
        <f t="shared" ca="1" si="4"/>
        <v>2</v>
      </c>
      <c r="F8" s="2">
        <f ca="1">VLOOKUP(C8,'French Open'!DW24:EM39, 17, FALSE)</f>
        <v>15</v>
      </c>
      <c r="G8" s="4">
        <f ca="1">HLOOKUP(E8, 'French Open'!$DX$20:$EL$36,$A8, FALSE)</f>
        <v>17.885435990324442</v>
      </c>
      <c r="M8" s="2" t="str">
        <f ca="1">IF(L6&gt;L7, H6, H7)</f>
        <v>Nadal</v>
      </c>
      <c r="N8" s="2">
        <f ca="1">VLOOKUP(M8, $H$6:$I$19, 2, FALSE)</f>
        <v>2</v>
      </c>
      <c r="O8" s="2">
        <f ca="1">RANDBETWEEN(1,P8)</f>
        <v>11</v>
      </c>
      <c r="P8" s="2">
        <f ca="1">VLOOKUP(M8, $H$6:$L$19, 4, FALSE)</f>
        <v>14</v>
      </c>
      <c r="Q8" s="4">
        <f ca="1">HLOOKUP(O8, 'French Open'!$DX$20:$EL$36,N8, FALSE)</f>
        <v>77.227882755363581</v>
      </c>
      <c r="Y8" s="9">
        <v>4.3999999999999997E-2</v>
      </c>
      <c r="Z8" s="9">
        <v>6.6000000000000003E-2</v>
      </c>
      <c r="AA8" s="9">
        <v>0.47399999999999998</v>
      </c>
      <c r="AB8" s="9">
        <v>4.2999999999999997E-2</v>
      </c>
      <c r="AC8" s="9">
        <v>5.1999999999999998E-2</v>
      </c>
      <c r="AD8" s="9">
        <v>1.7999999999999999E-2</v>
      </c>
      <c r="AE8" s="9">
        <v>5.0000000000000001E-3</v>
      </c>
      <c r="AF8" s="9">
        <v>0</v>
      </c>
      <c r="AG8" s="9">
        <v>7.4999999999999997E-2</v>
      </c>
      <c r="AH8" s="9">
        <v>3.1E-2</v>
      </c>
      <c r="AI8" s="9">
        <v>2.8000000000000001E-2</v>
      </c>
      <c r="AJ8" s="9">
        <v>4.2999999999999997E-2</v>
      </c>
      <c r="AK8" s="9">
        <v>6.0000000000000001E-3</v>
      </c>
      <c r="AL8" s="9">
        <v>3.0000000000000001E-3</v>
      </c>
      <c r="AM8" s="9">
        <v>1.6E-2</v>
      </c>
      <c r="AN8" s="9">
        <v>9.6000000000000002E-2</v>
      </c>
      <c r="AO8" s="9">
        <v>7.0000000000000001E-3</v>
      </c>
    </row>
    <row r="9" spans="1:41" x14ac:dyDescent="0.3">
      <c r="A9" s="2">
        <v>6</v>
      </c>
      <c r="B9" s="5">
        <f>'French Open'!A25</f>
        <v>4</v>
      </c>
      <c r="C9" s="2" t="str">
        <f ca="1">'French Open'!B25</f>
        <v>Wawrinka</v>
      </c>
      <c r="D9" s="2">
        <f t="shared" si="3"/>
        <v>6</v>
      </c>
      <c r="E9" s="2">
        <f t="shared" ca="1" si="4"/>
        <v>5</v>
      </c>
      <c r="F9" s="2">
        <f ca="1">VLOOKUP(C9,'French Open'!DW25:EM40, 17, FALSE)</f>
        <v>14</v>
      </c>
      <c r="G9" s="4">
        <f ca="1">HLOOKUP(E9, 'French Open'!$DX$20:$EL$36,$A9, FALSE)</f>
        <v>50.227882755363581</v>
      </c>
      <c r="M9" s="2" t="str">
        <f ca="1">IF(L10&gt;L11, H10, H11)</f>
        <v>Wawrinka</v>
      </c>
      <c r="N9" s="2">
        <f ca="1">VLOOKUP(M9, $H$6:$I$19, 2, FALSE)</f>
        <v>6</v>
      </c>
      <c r="O9" s="2">
        <f ca="1">RANDBETWEEN(1,P9)</f>
        <v>6</v>
      </c>
      <c r="P9" s="2">
        <f ca="1">VLOOKUP(M9, $H$6:$L$19, 4, FALSE)</f>
        <v>14</v>
      </c>
      <c r="Q9" s="4">
        <f ca="1">HLOOKUP(O9, 'French Open'!$DX$20:$EL$36,N9, FALSE)</f>
        <v>74.227882755363581</v>
      </c>
    </row>
    <row r="10" spans="1:41" x14ac:dyDescent="0.3">
      <c r="A10" s="2">
        <v>7</v>
      </c>
      <c r="B10" s="5">
        <f>'French Open'!A26</f>
        <v>5</v>
      </c>
      <c r="C10" s="2" t="str">
        <f ca="1">'French Open'!B26</f>
        <v>Kuerten</v>
      </c>
      <c r="D10" s="2">
        <f t="shared" si="3"/>
        <v>7</v>
      </c>
      <c r="E10" s="2">
        <f t="shared" ca="1" si="4"/>
        <v>9</v>
      </c>
      <c r="F10" s="2">
        <f ca="1">VLOOKUP(C10,'French Open'!DW26:EM41, 17, FALSE)</f>
        <v>11</v>
      </c>
      <c r="G10" s="4">
        <f ca="1">HLOOKUP(E10, 'French Open'!$DX$20:$EL$36,$A10, FALSE)</f>
        <v>-94.870530330504423</v>
      </c>
      <c r="H10" s="2" t="str">
        <f ca="1">IF(G9&gt;G10, C9, C10)</f>
        <v>Wawrinka</v>
      </c>
      <c r="I10" s="2">
        <f ca="1">VLOOKUP(H10, $C$5:$D$20, 2, FALSE)</f>
        <v>6</v>
      </c>
      <c r="J10" s="2">
        <f ca="1">RANDBETWEEN(1,K10)</f>
        <v>8</v>
      </c>
      <c r="K10" s="2">
        <f ca="1">VLOOKUP(H10, $C$5:$F$20, 4, FALSE)</f>
        <v>14</v>
      </c>
      <c r="L10" s="4">
        <f ca="1">HLOOKUP(J10, 'French Open'!$DX$20:$EL$36,I10, FALSE)</f>
        <v>230.22788275536357</v>
      </c>
    </row>
    <row r="11" spans="1:41" x14ac:dyDescent="0.3">
      <c r="A11" s="2">
        <v>8</v>
      </c>
      <c r="B11" s="5">
        <f>'French Open'!A27</f>
        <v>6</v>
      </c>
      <c r="C11" s="2" t="str">
        <f ca="1">'French Open'!B27</f>
        <v>Vilas</v>
      </c>
      <c r="D11" s="2">
        <f t="shared" si="3"/>
        <v>8</v>
      </c>
      <c r="E11" s="2">
        <f t="shared" ca="1" si="4"/>
        <v>10</v>
      </c>
      <c r="F11" s="2">
        <f ca="1">VLOOKUP(C11,'French Open'!DW27:EM42, 17, FALSE)</f>
        <v>15</v>
      </c>
      <c r="G11" s="4">
        <f ca="1">HLOOKUP(E11, 'French Open'!$DX$20:$EL$36,$A11, FALSE)</f>
        <v>116.16221792201388</v>
      </c>
      <c r="H11" s="2" t="str">
        <f ca="1">IF(G11&gt;G12, C11, C12)</f>
        <v>Vilas</v>
      </c>
      <c r="I11" s="2">
        <f ca="1">VLOOKUP(H11, $C$5:$D$20, 2, FALSE)</f>
        <v>8</v>
      </c>
      <c r="J11" s="2">
        <f ca="1">RANDBETWEEN(1,K11)</f>
        <v>14</v>
      </c>
      <c r="K11" s="2">
        <f ca="1">VLOOKUP(H11, $C$5:$F$20, 4, FALSE)</f>
        <v>15</v>
      </c>
      <c r="L11" s="4">
        <f ca="1">HLOOKUP(J11, 'French Open'!$DX$20:$EL$36,I11, FALSE)</f>
        <v>-19.837782077986123</v>
      </c>
    </row>
    <row r="12" spans="1:41" x14ac:dyDescent="0.3">
      <c r="A12" s="2">
        <v>9</v>
      </c>
      <c r="B12" s="2">
        <f ca="1">'French Open'!A28</f>
        <v>3</v>
      </c>
      <c r="C12" s="2" t="str">
        <f ca="1">'French Open'!B28</f>
        <v>Federer</v>
      </c>
      <c r="D12" s="2">
        <f t="shared" si="3"/>
        <v>9</v>
      </c>
      <c r="E12" s="2">
        <f t="shared" ca="1" si="4"/>
        <v>1</v>
      </c>
      <c r="F12" s="2">
        <f ca="1">VLOOKUP(C12,'French Open'!DW28:EM43, 17, FALSE)</f>
        <v>15</v>
      </c>
      <c r="G12" s="4">
        <f ca="1">HLOOKUP(E12, 'French Open'!$DX$20:$EL$36,$A12, FALSE)</f>
        <v>17.302878390064979</v>
      </c>
      <c r="R12" s="2" t="str">
        <f ca="1">IF(Q8&gt;Q9, M8, M9)</f>
        <v>Nadal</v>
      </c>
      <c r="S12" s="2">
        <f ca="1">VLOOKUP(R12, $M$8:$N$17, 2, FALSE)</f>
        <v>2</v>
      </c>
      <c r="T12" s="2">
        <f ca="1">RANDBETWEEN(1,U12)</f>
        <v>6</v>
      </c>
      <c r="U12" s="2">
        <f ca="1">VLOOKUP(R12, $M$8:$Q$17, 4, FALSE)</f>
        <v>14</v>
      </c>
      <c r="V12" s="4">
        <f ca="1">HLOOKUP(T12, 'French Open'!$DX$20:$EL$36,S12, FALSE)</f>
        <v>501.22788275536357</v>
      </c>
    </row>
    <row r="13" spans="1:41" x14ac:dyDescent="0.3">
      <c r="A13" s="2">
        <v>10</v>
      </c>
      <c r="B13" s="2">
        <f ca="1">'French Open'!A29</f>
        <v>4</v>
      </c>
      <c r="C13" s="2" t="str">
        <f ca="1">'French Open'!B29</f>
        <v>Borg</v>
      </c>
      <c r="D13" s="2">
        <f t="shared" si="3"/>
        <v>10</v>
      </c>
      <c r="E13" s="2">
        <f t="shared" ca="1" si="4"/>
        <v>4</v>
      </c>
      <c r="F13" s="2">
        <f ca="1">VLOOKUP(C13,'French Open'!DW29:EM44, 17, FALSE)</f>
        <v>10</v>
      </c>
      <c r="G13" s="4">
        <f ca="1">HLOOKUP(E13, 'French Open'!$DX$20:$EL$36,$A13, FALSE)</f>
        <v>145.16221792201389</v>
      </c>
      <c r="R13" s="2" t="str">
        <f ca="1">IF(Q16&gt;Q17, M16, M17)</f>
        <v>Djokovic</v>
      </c>
      <c r="S13" s="2">
        <f ca="1">VLOOKUP(R13, $M$8:$N$17, 2, FALSE)</f>
        <v>17</v>
      </c>
      <c r="T13" s="2">
        <f ca="1">RANDBETWEEN(1,U13)</f>
        <v>5</v>
      </c>
      <c r="U13" s="2">
        <f ca="1">VLOOKUP(R13, $M$8:$Q$17, 4, FALSE)</f>
        <v>13</v>
      </c>
      <c r="V13" s="4">
        <f ca="1">HLOOKUP(T13, 'French Open'!$DX$20:$EL$36,S13, FALSE)</f>
        <v>79.227882755363581</v>
      </c>
    </row>
    <row r="14" spans="1:41" x14ac:dyDescent="0.3">
      <c r="A14" s="2">
        <v>11</v>
      </c>
      <c r="B14" s="5">
        <f>'French Open'!A30</f>
        <v>7</v>
      </c>
      <c r="C14" s="2" t="str">
        <f ca="1">'French Open'!B30</f>
        <v>Connors</v>
      </c>
      <c r="D14" s="2">
        <f t="shared" si="3"/>
        <v>11</v>
      </c>
      <c r="E14" s="2">
        <f t="shared" ca="1" si="4"/>
        <v>8</v>
      </c>
      <c r="F14" s="2">
        <f ca="1">VLOOKUP(C14,'French Open'!DW30:EM45, 17, FALSE)</f>
        <v>13</v>
      </c>
      <c r="G14" s="4">
        <f ca="1">HLOOKUP(E14, 'French Open'!$DX$20:$EL$36,$A14, FALSE)</f>
        <v>23.162217922013888</v>
      </c>
      <c r="H14" s="2" t="str">
        <f ca="1">IF(G13&gt;G14, C13, C14)</f>
        <v>Borg</v>
      </c>
      <c r="I14" s="2">
        <f ca="1">VLOOKUP(H14, $C$5:$D$20, 2, FALSE)</f>
        <v>10</v>
      </c>
      <c r="J14" s="2">
        <f ca="1">RANDBETWEEN(1,K14)</f>
        <v>4</v>
      </c>
      <c r="K14" s="2">
        <f ca="1">VLOOKUP(H14, $C$5:$F$20, 4, FALSE)</f>
        <v>10</v>
      </c>
      <c r="L14" s="4">
        <f ca="1">HLOOKUP(J14, 'French Open'!$DX$20:$EL$36,I14, FALSE)</f>
        <v>145.16221792201389</v>
      </c>
      <c r="W14" s="2" t="s">
        <v>4</v>
      </c>
      <c r="X14" s="2" t="str">
        <f ca="1">IF(V12&gt;V13,R12,R13)</f>
        <v>Nadal</v>
      </c>
    </row>
    <row r="15" spans="1:41" x14ac:dyDescent="0.3">
      <c r="A15" s="2">
        <v>12</v>
      </c>
      <c r="B15" s="5">
        <f>'French Open'!A31</f>
        <v>8</v>
      </c>
      <c r="C15" s="2" t="str">
        <f ca="1">'French Open'!B31</f>
        <v>Murray</v>
      </c>
      <c r="D15" s="2">
        <f t="shared" si="3"/>
        <v>12</v>
      </c>
      <c r="E15" s="2">
        <f t="shared" ca="1" si="4"/>
        <v>3</v>
      </c>
      <c r="F15" s="2">
        <f ca="1">VLOOKUP(C15,'French Open'!DW31:EM46, 17, FALSE)</f>
        <v>10</v>
      </c>
      <c r="G15" s="4">
        <f ca="1">HLOOKUP(E15, 'French Open'!$DX$20:$EL$36,$A15, FALSE)</f>
        <v>153.22788275536357</v>
      </c>
      <c r="H15" s="2" t="str">
        <f ca="1">IF(G15&gt;G16, C15, C16)</f>
        <v>Wilander</v>
      </c>
      <c r="I15" s="2">
        <f ca="1">VLOOKUP(H15, $C$5:$D$20, 2, FALSE)</f>
        <v>13</v>
      </c>
      <c r="J15" s="2">
        <f ca="1">RANDBETWEEN(1,K15)</f>
        <v>10</v>
      </c>
      <c r="K15" s="2">
        <f ca="1">VLOOKUP(H15, $C$5:$F$20, 4, FALSE)</f>
        <v>12</v>
      </c>
      <c r="L15" s="4">
        <f ca="1">HLOOKUP(J15, 'French Open'!$DX$20:$EL$36,I15, FALSE)</f>
        <v>-7.8377820779861107</v>
      </c>
    </row>
    <row r="16" spans="1:41" x14ac:dyDescent="0.3">
      <c r="A16" s="2">
        <v>13</v>
      </c>
      <c r="B16" s="5">
        <f>'French Open'!A32</f>
        <v>9</v>
      </c>
      <c r="C16" s="2" t="str">
        <f ca="1">'French Open'!B32</f>
        <v>Wilander</v>
      </c>
      <c r="D16" s="2">
        <f t="shared" si="3"/>
        <v>13</v>
      </c>
      <c r="E16" s="2">
        <f t="shared" ca="1" si="4"/>
        <v>7</v>
      </c>
      <c r="F16" s="2">
        <f ca="1">VLOOKUP(C16,'French Open'!DW32:EM47, 17, FALSE)</f>
        <v>12</v>
      </c>
      <c r="G16" s="4">
        <f ca="1">HLOOKUP(E16, 'French Open'!$DX$20:$EL$36,$A16, FALSE)</f>
        <v>476.16221792201389</v>
      </c>
      <c r="M16" s="2" t="str">
        <f ca="1">IF(L14&gt;L15, H14, H15)</f>
        <v>Borg</v>
      </c>
      <c r="N16" s="2">
        <f ca="1">VLOOKUP(M16, $H$6:$I$19, 2, FALSE)</f>
        <v>10</v>
      </c>
      <c r="O16" s="2">
        <f ca="1">RANDBETWEEN(1,P16)</f>
        <v>9</v>
      </c>
      <c r="P16" s="2">
        <f ca="1">VLOOKUP(M16, $H$6:$L$19, 4, FALSE)</f>
        <v>10</v>
      </c>
      <c r="Q16" s="4">
        <f ca="1">HLOOKUP(O16, 'French Open'!$DX$20:$EL$36,N16, FALSE)</f>
        <v>11.162217922013884</v>
      </c>
    </row>
    <row r="17" spans="1:17" x14ac:dyDescent="0.3">
      <c r="A17" s="2">
        <v>14</v>
      </c>
      <c r="B17" s="5">
        <f>'French Open'!A33</f>
        <v>10</v>
      </c>
      <c r="C17" s="2" t="str">
        <f ca="1">'French Open'!B33</f>
        <v>Edberg</v>
      </c>
      <c r="D17" s="2">
        <f t="shared" si="3"/>
        <v>14</v>
      </c>
      <c r="E17" s="2">
        <f t="shared" ca="1" si="4"/>
        <v>7</v>
      </c>
      <c r="F17" s="2">
        <f ca="1">VLOOKUP(C17,'French Open'!DW33:EM48, 17, FALSE)</f>
        <v>13</v>
      </c>
      <c r="G17" s="4">
        <f ca="1">HLOOKUP(E17, 'French Open'!$DX$20:$EL$36,$A17, FALSE)</f>
        <v>-34.83778207798612</v>
      </c>
      <c r="M17" s="2" t="str">
        <f ca="1">IF(L18&gt;L19, H18, H19)</f>
        <v>Djokovic</v>
      </c>
      <c r="N17" s="2">
        <f ca="1">VLOOKUP(M17, $H$6:$I$19, 2, FALSE)</f>
        <v>17</v>
      </c>
      <c r="O17" s="2">
        <f ca="1">RANDBETWEEN(1,P17)</f>
        <v>1</v>
      </c>
      <c r="P17" s="2">
        <f ca="1">VLOOKUP(M17, $H$6:$L$19, 4, FALSE)</f>
        <v>13</v>
      </c>
      <c r="Q17" s="4">
        <f ca="1">HLOOKUP(O17, 'French Open'!$DX$20:$EL$36,N17, FALSE)</f>
        <v>13.227882755363579</v>
      </c>
    </row>
    <row r="18" spans="1:17" x14ac:dyDescent="0.3">
      <c r="A18" s="2">
        <v>15</v>
      </c>
      <c r="B18" s="5">
        <f>'French Open'!A34</f>
        <v>11</v>
      </c>
      <c r="C18" s="2" t="str">
        <f ca="1">'French Open'!B34</f>
        <v>Becker</v>
      </c>
      <c r="D18" s="2">
        <f t="shared" si="3"/>
        <v>15</v>
      </c>
      <c r="E18" s="2">
        <f t="shared" ca="1" si="4"/>
        <v>1</v>
      </c>
      <c r="F18" s="2">
        <f ca="1">VLOOKUP(C18,'French Open'!DW34:EM49, 17, FALSE)</f>
        <v>10</v>
      </c>
      <c r="G18" s="4">
        <f ca="1">HLOOKUP(E18, 'French Open'!$DX$20:$EL$36,$A18, FALSE)</f>
        <v>84.162217922013895</v>
      </c>
      <c r="H18" s="2" t="str">
        <f ca="1">IF(G17&gt;G18, C17, C18)</f>
        <v>Becker</v>
      </c>
      <c r="I18" s="2">
        <f ca="1">VLOOKUP(H18, $C$5:$D$20, 2, FALSE)</f>
        <v>15</v>
      </c>
      <c r="J18" s="2">
        <f ca="1">RANDBETWEEN(1,K18)</f>
        <v>1</v>
      </c>
      <c r="K18" s="2">
        <f ca="1">VLOOKUP(H18, $C$5:$F$20, 4, FALSE)</f>
        <v>10</v>
      </c>
      <c r="L18" s="4">
        <f ca="1">HLOOKUP(J18, 'French Open'!$DX$20:$EL$36,I18, FALSE)</f>
        <v>84.162217922013895</v>
      </c>
    </row>
    <row r="19" spans="1:17" x14ac:dyDescent="0.3">
      <c r="A19" s="2">
        <v>16</v>
      </c>
      <c r="B19" s="5">
        <f>'French Open'!A35</f>
        <v>12</v>
      </c>
      <c r="C19" s="2" t="str">
        <f ca="1">'French Open'!B35</f>
        <v>Lendl</v>
      </c>
      <c r="D19" s="2">
        <f t="shared" si="3"/>
        <v>16</v>
      </c>
      <c r="E19" s="2">
        <f t="shared" ca="1" si="4"/>
        <v>5</v>
      </c>
      <c r="F19" s="2">
        <f ca="1">VLOOKUP(C19,'French Open'!DW35:EM50, 17, FALSE)</f>
        <v>15</v>
      </c>
      <c r="G19" s="4">
        <f ca="1">HLOOKUP(E19, 'French Open'!$DX$20:$EL$36,$A19, FALSE)</f>
        <v>149.16221792201389</v>
      </c>
      <c r="H19" s="2" t="str">
        <f ca="1">IF(G19&gt;G20, C19, C20)</f>
        <v>Djokovic</v>
      </c>
      <c r="I19" s="2">
        <f ca="1">VLOOKUP(H19, $C$5:$D$20, 2, FALSE)</f>
        <v>17</v>
      </c>
      <c r="J19" s="2">
        <f ca="1">RANDBETWEEN(1,K19)</f>
        <v>8</v>
      </c>
      <c r="K19" s="2">
        <f ca="1">VLOOKUP(H19, $C$5:$F$20, 4, FALSE)</f>
        <v>13</v>
      </c>
      <c r="L19" s="4">
        <f ca="1">HLOOKUP(J19, 'French Open'!$DX$20:$EL$36,I19, FALSE)</f>
        <v>314.22788275536357</v>
      </c>
    </row>
    <row r="20" spans="1:17" x14ac:dyDescent="0.3">
      <c r="A20" s="2">
        <v>17</v>
      </c>
      <c r="B20" s="2">
        <f>'French Open'!A36</f>
        <v>2</v>
      </c>
      <c r="C20" s="2" t="str">
        <f>'French Open'!B36</f>
        <v>Djokovic</v>
      </c>
      <c r="D20" s="2">
        <f t="shared" si="3"/>
        <v>17</v>
      </c>
      <c r="E20" s="2">
        <f t="shared" ca="1" si="4"/>
        <v>8</v>
      </c>
      <c r="F20" s="2">
        <f>VLOOKUP(C20,'French Open'!DW36:EM51, 17, FALSE)</f>
        <v>13</v>
      </c>
      <c r="G20" s="4">
        <f ca="1">HLOOKUP(E20, 'French Open'!$DX$20:$EL$36,$A20, FALSE)</f>
        <v>314.22788275536357</v>
      </c>
    </row>
  </sheetData>
  <conditionalFormatting sqref="Y4:AN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AO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AO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M36"/>
  <sheetViews>
    <sheetView workbookViewId="0">
      <selection activeCell="O29" sqref="A1:XFD1048576"/>
    </sheetView>
  </sheetViews>
  <sheetFormatPr defaultColWidth="10.796875" defaultRowHeight="15.6" x14ac:dyDescent="0.3"/>
  <cols>
    <col min="1" max="1" width="3.69921875" style="8" customWidth="1"/>
    <col min="2" max="2" width="10.796875" style="8"/>
    <col min="3" max="3" width="10.796875" style="8" customWidth="1"/>
    <col min="4" max="4" width="6.796875" style="8" customWidth="1"/>
    <col min="5" max="5" width="3.796875" style="8" customWidth="1"/>
    <col min="6" max="6" width="10.796875" style="8"/>
    <col min="7" max="29" width="4.19921875" style="8" customWidth="1"/>
    <col min="30" max="30" width="10.796875" style="8" hidden="1" customWidth="1"/>
    <col min="31" max="53" width="2.796875" style="8" hidden="1" customWidth="1"/>
    <col min="54" max="54" width="10.796875" style="8" hidden="1" customWidth="1"/>
    <col min="55" max="92" width="4.19921875" style="8" customWidth="1"/>
    <col min="93" max="93" width="10.796875" style="8"/>
    <col min="94" max="101" width="4.19921875" style="8" customWidth="1"/>
    <col min="102" max="102" width="4.5" style="8" customWidth="1"/>
    <col min="103" max="108" width="4.19921875" style="8" customWidth="1"/>
    <col min="109" max="111" width="4.296875" style="8" customWidth="1"/>
    <col min="112" max="126" width="4.5" style="8" customWidth="1"/>
    <col min="127" max="127" width="10.796875" style="8"/>
    <col min="128" max="135" width="4.19921875" style="8" customWidth="1"/>
    <col min="136" max="136" width="4.296875" style="8" customWidth="1"/>
    <col min="137" max="142" width="4.19921875" style="8" customWidth="1"/>
    <col min="143" max="16384" width="10.796875" style="8"/>
  </cols>
  <sheetData>
    <row r="1" spans="1:111" x14ac:dyDescent="0.3">
      <c r="A1" s="13" t="s">
        <v>0</v>
      </c>
      <c r="B1" s="13"/>
      <c r="G1" s="8">
        <v>2</v>
      </c>
      <c r="H1" s="8">
        <v>3</v>
      </c>
      <c r="I1" s="8">
        <v>4</v>
      </c>
      <c r="J1" s="8">
        <v>5</v>
      </c>
      <c r="K1" s="8">
        <v>6</v>
      </c>
      <c r="L1" s="8">
        <v>7</v>
      </c>
      <c r="M1" s="8">
        <v>8</v>
      </c>
      <c r="N1" s="8">
        <v>9</v>
      </c>
      <c r="O1" s="8">
        <v>10</v>
      </c>
      <c r="P1" s="8">
        <v>11</v>
      </c>
      <c r="Q1" s="8">
        <v>12</v>
      </c>
      <c r="R1" s="8">
        <v>13</v>
      </c>
      <c r="S1" s="8">
        <v>14</v>
      </c>
      <c r="T1" s="8">
        <v>15</v>
      </c>
      <c r="U1" s="8">
        <v>16</v>
      </c>
      <c r="V1" s="8">
        <v>17</v>
      </c>
      <c r="W1" s="8">
        <v>18</v>
      </c>
      <c r="X1" s="8">
        <v>19</v>
      </c>
      <c r="Y1" s="8">
        <v>20</v>
      </c>
      <c r="Z1" s="8">
        <v>21</v>
      </c>
      <c r="AA1" s="8">
        <v>22</v>
      </c>
      <c r="AB1" s="8">
        <v>23</v>
      </c>
      <c r="AC1" s="8">
        <v>24</v>
      </c>
      <c r="AE1" s="8">
        <v>2</v>
      </c>
      <c r="AF1" s="8">
        <v>3</v>
      </c>
      <c r="AG1" s="8">
        <v>4</v>
      </c>
      <c r="AH1" s="8">
        <v>5</v>
      </c>
      <c r="AI1" s="8">
        <v>6</v>
      </c>
      <c r="AJ1" s="8">
        <v>7</v>
      </c>
      <c r="AK1" s="8">
        <v>8</v>
      </c>
      <c r="AL1" s="8">
        <v>9</v>
      </c>
      <c r="AM1" s="8">
        <v>10</v>
      </c>
      <c r="AN1" s="8">
        <v>11</v>
      </c>
      <c r="AO1" s="8">
        <v>12</v>
      </c>
      <c r="AP1" s="8">
        <v>13</v>
      </c>
      <c r="AQ1" s="8">
        <v>14</v>
      </c>
      <c r="AR1" s="8">
        <v>15</v>
      </c>
      <c r="AS1" s="8">
        <v>16</v>
      </c>
      <c r="AT1" s="8">
        <v>17</v>
      </c>
      <c r="AU1" s="8">
        <v>18</v>
      </c>
      <c r="AV1" s="8">
        <v>19</v>
      </c>
      <c r="AW1" s="8">
        <v>20</v>
      </c>
      <c r="AX1" s="8">
        <v>21</v>
      </c>
      <c r="AY1" s="8">
        <v>22</v>
      </c>
      <c r="AZ1" s="8">
        <v>23</v>
      </c>
      <c r="BA1" s="8">
        <v>24</v>
      </c>
      <c r="BZ1" s="8">
        <v>1</v>
      </c>
      <c r="CA1" s="8">
        <v>2</v>
      </c>
      <c r="CB1" s="8">
        <v>3</v>
      </c>
      <c r="CC1" s="8">
        <v>4</v>
      </c>
      <c r="CD1" s="8">
        <v>5</v>
      </c>
      <c r="CE1" s="8">
        <v>6</v>
      </c>
      <c r="CF1" s="8">
        <v>7</v>
      </c>
      <c r="CG1" s="8">
        <v>8</v>
      </c>
      <c r="CH1" s="8">
        <v>9</v>
      </c>
      <c r="CI1" s="8">
        <v>10</v>
      </c>
      <c r="CJ1" s="8">
        <v>11</v>
      </c>
      <c r="CK1" s="8">
        <v>12</v>
      </c>
      <c r="CL1" s="8">
        <v>13</v>
      </c>
      <c r="CM1" s="8">
        <v>14</v>
      </c>
      <c r="CN1" s="8">
        <v>15</v>
      </c>
      <c r="CP1" s="8">
        <v>1</v>
      </c>
      <c r="CQ1" s="8">
        <v>2</v>
      </c>
      <c r="CR1" s="8">
        <v>3</v>
      </c>
      <c r="CS1" s="8">
        <v>4</v>
      </c>
      <c r="CT1" s="8">
        <v>5</v>
      </c>
      <c r="CU1" s="8">
        <v>6</v>
      </c>
      <c r="CV1" s="8">
        <v>7</v>
      </c>
      <c r="CW1" s="8">
        <v>8</v>
      </c>
      <c r="CX1" s="8">
        <v>9</v>
      </c>
      <c r="CY1" s="8">
        <v>10</v>
      </c>
      <c r="CZ1" s="8">
        <v>11</v>
      </c>
      <c r="DA1" s="8">
        <v>12</v>
      </c>
      <c r="DB1" s="8">
        <v>13</v>
      </c>
      <c r="DC1" s="8">
        <v>14</v>
      </c>
      <c r="DD1" s="8">
        <v>15</v>
      </c>
    </row>
    <row r="2" spans="1:111" x14ac:dyDescent="0.3">
      <c r="A2" s="8">
        <v>1</v>
      </c>
      <c r="B2" s="8" t="str">
        <f>VLOOKUP(A2,[1]Ranking!$Y$3:$AA$19, 3, FALSE)</f>
        <v>Federer</v>
      </c>
      <c r="C2" s="8" t="s">
        <v>22</v>
      </c>
      <c r="G2" s="8">
        <f>VLOOKUP($C2,[1]Data!$C$3:$Z$86,G$1, FALSE)</f>
        <v>-58</v>
      </c>
      <c r="H2" s="8">
        <f>VLOOKUP($C2,[1]Data!$C$3:$Z$86,H$1, FALSE)</f>
        <v>-5</v>
      </c>
      <c r="I2" s="8">
        <f>VLOOKUP($C2,[1]Data!$C$3:$Z$86,I$1, FALSE)</f>
        <v>234</v>
      </c>
      <c r="J2" s="8">
        <f>VLOOKUP($C2,[1]Data!$C$3:$Z$86,J$1, FALSE)</f>
        <v>-99</v>
      </c>
      <c r="K2" s="8">
        <f>VLOOKUP($C2,[1]Data!$C$3:$Z$86,K$1, FALSE)</f>
        <v>467</v>
      </c>
      <c r="L2" s="8">
        <f>VLOOKUP($C2,[1]Data!$C$3:$Z$86,L$1, FALSE)</f>
        <v>372</v>
      </c>
      <c r="M2" s="8">
        <f>VLOOKUP($C2,[1]Data!$C$3:$Z$86,M$1, FALSE)</f>
        <v>519</v>
      </c>
      <c r="N2" s="8">
        <f>VLOOKUP($C2,[1]Data!$C$3:$Z$86,N$1, FALSE)</f>
        <v>478</v>
      </c>
      <c r="O2" s="8">
        <f>VLOOKUP($C2,[1]Data!$C$3:$Z$86,O$1, FALSE)</f>
        <v>535</v>
      </c>
      <c r="P2" s="8">
        <f>VLOOKUP($C2,[1]Data!$C$3:$Z$86,P$1, FALSE)</f>
        <v>297</v>
      </c>
      <c r="Q2" s="8">
        <f>VLOOKUP($C2,[1]Data!$C$3:$Z$86,Q$1, FALSE)</f>
        <v>551</v>
      </c>
      <c r="R2" s="8">
        <f>VLOOKUP($C2,[1]Data!$C$3:$Z$86,R$1, FALSE)</f>
        <v>137</v>
      </c>
      <c r="S2" s="8">
        <f>VLOOKUP($C2,[1]Data!$C$3:$Z$86,S$1, FALSE)</f>
        <v>236</v>
      </c>
      <c r="T2" s="8">
        <f>VLOOKUP($C2,[1]Data!$C$3:$Z$86,T$1, FALSE)</f>
        <v>504</v>
      </c>
      <c r="U2" s="8">
        <f>VLOOKUP($C2,[1]Data!$C$3:$Z$86,U$1, FALSE)</f>
        <v>-47</v>
      </c>
      <c r="V2" s="8">
        <f>VLOOKUP($C2,[1]Data!$C$3:$Z$86,V$1, FALSE)</f>
        <v>376</v>
      </c>
      <c r="W2" s="8">
        <f>VLOOKUP($C2,[1]Data!$C$3:$Z$86,W$1, FALSE)</f>
        <v>401</v>
      </c>
      <c r="X2" s="8">
        <f>VLOOKUP($C2,[1]Data!$C$3:$Z$86,X$1, FALSE)</f>
        <v>233</v>
      </c>
      <c r="Y2" s="8">
        <f>VLOOKUP($C2,[1]Data!$C$3:$Z$86,Y$1, FALSE)</f>
        <v>516</v>
      </c>
      <c r="Z2" s="8">
        <f>VLOOKUP($C2,[1]Data!$C$3:$Z$86,Z$1, FALSE)</f>
        <v>185</v>
      </c>
      <c r="AA2" s="8">
        <f>VLOOKUP($C2,[1]Data!$C$3:$Z$86,AA$1, FALSE)</f>
        <v>0</v>
      </c>
      <c r="AB2" s="8">
        <f>VLOOKUP($C2,[1]Data!$C$3:$Z$86,AB$1, FALSE)</f>
        <v>0</v>
      </c>
      <c r="AC2" s="8">
        <f>VLOOKUP($C2,[1]Data!$C$3:$Z$86,AC$1, FALSE)</f>
        <v>0</v>
      </c>
      <c r="AE2" s="8">
        <f t="shared" ref="AE2:AT5" si="0">RANK(G2,$G2:$AC2)</f>
        <v>22</v>
      </c>
      <c r="AF2" s="8">
        <f t="shared" si="0"/>
        <v>20</v>
      </c>
      <c r="AG2" s="8">
        <f t="shared" si="0"/>
        <v>13</v>
      </c>
      <c r="AH2" s="8">
        <f t="shared" si="0"/>
        <v>23</v>
      </c>
      <c r="AI2" s="8">
        <f t="shared" si="0"/>
        <v>7</v>
      </c>
      <c r="AJ2" s="8">
        <f t="shared" si="0"/>
        <v>10</v>
      </c>
      <c r="AK2" s="8">
        <f t="shared" si="0"/>
        <v>3</v>
      </c>
      <c r="AL2" s="8">
        <f t="shared" si="0"/>
        <v>6</v>
      </c>
      <c r="AM2" s="8">
        <f t="shared" si="0"/>
        <v>2</v>
      </c>
      <c r="AN2" s="8">
        <f t="shared" si="0"/>
        <v>11</v>
      </c>
      <c r="AO2" s="8">
        <f t="shared" si="0"/>
        <v>1</v>
      </c>
      <c r="AP2" s="8">
        <f t="shared" si="0"/>
        <v>16</v>
      </c>
      <c r="AQ2" s="8">
        <f t="shared" si="0"/>
        <v>12</v>
      </c>
      <c r="AR2" s="8">
        <f t="shared" si="0"/>
        <v>5</v>
      </c>
      <c r="AS2" s="8">
        <f t="shared" si="0"/>
        <v>21</v>
      </c>
      <c r="AT2" s="8">
        <f t="shared" si="0"/>
        <v>9</v>
      </c>
      <c r="AU2" s="8">
        <f t="shared" ref="AO2:BA5" si="1">RANK(W2,$G2:$AC2)</f>
        <v>8</v>
      </c>
      <c r="AV2" s="8">
        <f t="shared" si="1"/>
        <v>14</v>
      </c>
      <c r="AW2" s="8">
        <f t="shared" si="1"/>
        <v>4</v>
      </c>
      <c r="AX2" s="8">
        <f t="shared" si="1"/>
        <v>15</v>
      </c>
      <c r="AY2" s="8">
        <f t="shared" si="1"/>
        <v>17</v>
      </c>
      <c r="AZ2" s="8">
        <f t="shared" si="1"/>
        <v>17</v>
      </c>
      <c r="BA2" s="8">
        <f t="shared" si="1"/>
        <v>17</v>
      </c>
      <c r="BC2" s="8" t="str">
        <f t="shared" ref="BC2:BC18" si="2">IF(AE2&gt;15, "", IF(G2=0, "", G2))</f>
        <v/>
      </c>
      <c r="BD2" s="8" t="str">
        <f t="shared" ref="BD2:BD17" si="3">IF(AF2&gt;15, "", IF(H2=0, "", H2))</f>
        <v/>
      </c>
      <c r="BE2" s="8">
        <f t="shared" ref="BE2" si="4">IF(AG2&gt;15, "", IF(I2=0, "", I2))</f>
        <v>234</v>
      </c>
      <c r="BF2" s="8" t="str">
        <f t="shared" ref="BF2:BF18" si="5">IF(AH2&gt;15, "", IF(J2=0, "", J2))</f>
        <v/>
      </c>
      <c r="BG2" s="8">
        <f t="shared" ref="BG2:BG17" si="6">IF(AI2&gt;15, "", IF(K2=0, "", K2))</f>
        <v>467</v>
      </c>
      <c r="BH2" s="8">
        <f t="shared" ref="BH2:BH18" si="7">IF(AJ2&gt;15, "", IF(L2=0, "", L2))</f>
        <v>372</v>
      </c>
      <c r="BI2" s="8">
        <f t="shared" ref="BI2:BI17" si="8">IF(AK2&gt;15, "", IF(M2=0, "", M2))</f>
        <v>519</v>
      </c>
      <c r="BJ2" s="8">
        <f t="shared" ref="BJ2:BJ17" si="9">IF(AL2&gt;15, "", IF(N2=0, "", N2))</f>
        <v>478</v>
      </c>
      <c r="BK2" s="8">
        <f t="shared" ref="BK2:BK17" si="10">IF(AM2&gt;15, "", IF(O2=0, "", O2))</f>
        <v>535</v>
      </c>
      <c r="BL2" s="8">
        <f t="shared" ref="BL2:BL16" si="11">IF(AN2&gt;15, "", IF(P2=0, "", P2))</f>
        <v>297</v>
      </c>
      <c r="BM2" s="8">
        <f t="shared" ref="BM2:BM17" si="12">IF(AO2&gt;15, "", IF(Q2=0, "", Q2))</f>
        <v>551</v>
      </c>
      <c r="BN2" s="8" t="str">
        <f t="shared" ref="BN2:BN18" si="13">IF(AP2&gt;15, "", IF(R2=0, "", R2))</f>
        <v/>
      </c>
      <c r="BO2" s="8">
        <f t="shared" ref="BO2:BO18" si="14">IF(AQ2&gt;15, "", IF(S2=0, "", S2))</f>
        <v>236</v>
      </c>
      <c r="BP2" s="8">
        <f t="shared" ref="BP2:BP18" si="15">IF(AR2&gt;15, "", IF(T2=0, "", T2))</f>
        <v>504</v>
      </c>
      <c r="BQ2" s="8" t="str">
        <f t="shared" ref="BQ2:BQ18" si="16">IF(AS2&gt;15, "", IF(U2=0, "", U2))</f>
        <v/>
      </c>
      <c r="BR2" s="8">
        <f t="shared" ref="BR2:BR18" si="17">IF(AT2&gt;15, "", IF(V2=0, "", V2))</f>
        <v>376</v>
      </c>
      <c r="BS2" s="8">
        <f t="shared" ref="BS2:BS18" si="18">IF(AU2&gt;15, "", IF(W2=0, "", W2))</f>
        <v>401</v>
      </c>
      <c r="BT2" s="8">
        <f t="shared" ref="BT2:BT18" si="19">IF(AV2&gt;15, "", IF(X2=0, "", X2))</f>
        <v>233</v>
      </c>
      <c r="BU2" s="8">
        <f t="shared" ref="BU2:BU18" si="20">IF(AW2&gt;15, "", IF(Y2=0, "", Y2))</f>
        <v>516</v>
      </c>
      <c r="BV2" s="8">
        <f t="shared" ref="BV2:BV18" si="21">IF(AX2&gt;15, "", IF(Z2=0, "", Z2))</f>
        <v>185</v>
      </c>
      <c r="BW2" s="8" t="str">
        <f t="shared" ref="BW2:BW18" si="22">IF(AY2&gt;15, "", IF(AA2=0, "", AA2))</f>
        <v/>
      </c>
      <c r="BX2" s="8" t="str">
        <f t="shared" ref="BX2:BX18" si="23">IF(AZ2&gt;15, "", IF(AB2=0, "", AB2))</f>
        <v/>
      </c>
      <c r="BY2" s="8" t="str">
        <f t="shared" ref="BY2:BY18" si="24">IF(BA2&gt;15, "", IF(AC2=0, "", AC2))</f>
        <v/>
      </c>
      <c r="BZ2" s="8">
        <f>BE2</f>
        <v>234</v>
      </c>
      <c r="CA2" s="8">
        <f>BG2</f>
        <v>467</v>
      </c>
      <c r="CB2" s="8">
        <f t="shared" ref="CB2:CG3" si="25">BH2</f>
        <v>372</v>
      </c>
      <c r="CC2" s="8">
        <f t="shared" si="25"/>
        <v>519</v>
      </c>
      <c r="CD2" s="8">
        <f t="shared" si="25"/>
        <v>478</v>
      </c>
      <c r="CE2" s="8">
        <f t="shared" si="25"/>
        <v>535</v>
      </c>
      <c r="CF2" s="8">
        <f t="shared" si="25"/>
        <v>297</v>
      </c>
      <c r="CG2" s="8">
        <f t="shared" si="25"/>
        <v>551</v>
      </c>
      <c r="CH2" s="8">
        <f>BO2</f>
        <v>236</v>
      </c>
      <c r="CI2" s="8">
        <f>BP2</f>
        <v>504</v>
      </c>
      <c r="CJ2" s="8">
        <f>BR2</f>
        <v>376</v>
      </c>
      <c r="CK2" s="8">
        <f>BS2</f>
        <v>401</v>
      </c>
      <c r="CL2" s="8">
        <f>BT2</f>
        <v>233</v>
      </c>
      <c r="CM2" s="8">
        <f>BU2</f>
        <v>516</v>
      </c>
      <c r="CN2" s="8">
        <f>BV2</f>
        <v>185</v>
      </c>
      <c r="CO2" s="8" t="str">
        <f>B2</f>
        <v>Federer</v>
      </c>
      <c r="CP2" s="4">
        <f>BZ2+$DG2</f>
        <v>228.30287839006499</v>
      </c>
      <c r="CQ2" s="4">
        <f t="shared" ref="CQ2:DC5" si="26">CA2+$DG2</f>
        <v>461.30287839006496</v>
      </c>
      <c r="CR2" s="4">
        <f t="shared" si="26"/>
        <v>366.30287839006496</v>
      </c>
      <c r="CS2" s="4">
        <f t="shared" si="26"/>
        <v>513.30287839006496</v>
      </c>
      <c r="CT2" s="4">
        <f t="shared" si="26"/>
        <v>472.30287839006496</v>
      </c>
      <c r="CU2" s="4">
        <f t="shared" si="26"/>
        <v>529.30287839006496</v>
      </c>
      <c r="CV2" s="4">
        <f t="shared" si="26"/>
        <v>291.30287839006496</v>
      </c>
      <c r="CW2" s="4">
        <f t="shared" si="26"/>
        <v>545.30287839006496</v>
      </c>
      <c r="CX2" s="4">
        <f t="shared" si="26"/>
        <v>230.30287839006499</v>
      </c>
      <c r="CY2" s="4">
        <f t="shared" si="26"/>
        <v>498.30287839006496</v>
      </c>
      <c r="CZ2" s="4">
        <f t="shared" si="26"/>
        <v>370.30287839006496</v>
      </c>
      <c r="DA2" s="4">
        <f t="shared" si="26"/>
        <v>395.30287839006496</v>
      </c>
      <c r="DB2" s="4">
        <f>CK2+$DG2</f>
        <v>395.30287839006496</v>
      </c>
      <c r="DC2" s="4">
        <f>CL2+$DG2</f>
        <v>227.30287839006499</v>
      </c>
      <c r="DD2" s="4">
        <f>CM2+$DG2</f>
        <v>510.30287839006496</v>
      </c>
      <c r="DE2" s="8">
        <f>VLOOKUP(B2,[1]Ranking!$C$3:$BM$19, 34, FALSE)</f>
        <v>73</v>
      </c>
      <c r="DF2" s="4">
        <f>VLOOKUP(B2,[1]Ranking!$C$3:$BM$19, 63, FALSE)</f>
        <v>-415.88987752525645</v>
      </c>
      <c r="DG2" s="4">
        <f>DF2/DE2</f>
        <v>-5.6971216099350199</v>
      </c>
    </row>
    <row r="3" spans="1:111" x14ac:dyDescent="0.3">
      <c r="A3" s="8">
        <v>2</v>
      </c>
      <c r="B3" s="8" t="str">
        <f>VLOOKUP(A3,[1]Ranking!$Y$3:$AA$19, 3, FALSE)</f>
        <v>Connors</v>
      </c>
      <c r="C3" s="8" t="s">
        <v>23</v>
      </c>
      <c r="G3" s="8">
        <f>VLOOKUP($C3,[1]Data!$C$3:$Z$86,G$1, FALSE)</f>
        <v>0</v>
      </c>
      <c r="H3" s="8">
        <f>VLOOKUP($C3,[1]Data!$C$3:$Z$86,H$1, FALSE)</f>
        <v>0</v>
      </c>
      <c r="I3" s="8">
        <f>VLOOKUP($C3,[1]Data!$C$3:$Z$86,I$1, FALSE)</f>
        <v>262</v>
      </c>
      <c r="J3" s="8">
        <f>VLOOKUP($C3,[1]Data!$C$3:$Z$86,J$1, FALSE)</f>
        <v>10</v>
      </c>
      <c r="K3" s="8">
        <f>VLOOKUP($C3,[1]Data!$C$3:$Z$86,K$1, FALSE)</f>
        <v>563</v>
      </c>
      <c r="L3" s="8">
        <f>VLOOKUP($C3,[1]Data!$C$3:$Z$86,L$1, FALSE)</f>
        <v>416</v>
      </c>
      <c r="M3" s="8">
        <f>VLOOKUP($C3,[1]Data!$C$3:$Z$86,M$1, FALSE)</f>
        <v>91</v>
      </c>
      <c r="N3" s="8">
        <f>VLOOKUP($C3,[1]Data!$C$3:$Z$86,N$1, FALSE)</f>
        <v>320</v>
      </c>
      <c r="O3" s="8">
        <f>VLOOKUP($C3,[1]Data!$C$3:$Z$86,O$1, FALSE)</f>
        <v>435</v>
      </c>
      <c r="P3" s="8">
        <f>VLOOKUP($C3,[1]Data!$C$3:$Z$86,P$1, FALSE)</f>
        <v>256</v>
      </c>
      <c r="Q3" s="8">
        <f>VLOOKUP($C3,[1]Data!$C$3:$Z$86,Q$1, FALSE)</f>
        <v>257</v>
      </c>
      <c r="R3" s="8">
        <f>VLOOKUP($C3,[1]Data!$C$3:$Z$86,R$1, FALSE)</f>
        <v>251</v>
      </c>
      <c r="S3" s="8">
        <f>VLOOKUP($C3,[1]Data!$C$3:$Z$86,S$1, FALSE)</f>
        <v>466</v>
      </c>
      <c r="T3" s="8">
        <f>VLOOKUP($C3,[1]Data!$C$3:$Z$86,T$1, FALSE)</f>
        <v>85</v>
      </c>
      <c r="U3" s="8">
        <f>VLOOKUP($C3,[1]Data!$C$3:$Z$86,U$1, FALSE)</f>
        <v>236</v>
      </c>
      <c r="V3" s="8">
        <f>VLOOKUP($C3,[1]Data!$C$3:$Z$86,V$1, FALSE)</f>
        <v>149</v>
      </c>
      <c r="W3" s="8">
        <f>VLOOKUP($C3,[1]Data!$C$3:$Z$86,W$1, FALSE)</f>
        <v>-27</v>
      </c>
      <c r="X3" s="8">
        <f>VLOOKUP($C3,[1]Data!$C$3:$Z$86,X$1, FALSE)</f>
        <v>204</v>
      </c>
      <c r="Y3" s="8">
        <f>VLOOKUP($C3,[1]Data!$C$3:$Z$86,Y$1, FALSE)</f>
        <v>-74</v>
      </c>
      <c r="Z3" s="8">
        <f>VLOOKUP($C3,[1]Data!$C$3:$Z$86,Z$1, FALSE)</f>
        <v>-9</v>
      </c>
      <c r="AA3" s="8">
        <f>VLOOKUP($C3,[1]Data!$C$3:$Z$86,AA$1, FALSE)</f>
        <v>0</v>
      </c>
      <c r="AB3" s="8">
        <f>VLOOKUP($C3,[1]Data!$C$3:$Z$86,AB$1, FALSE)</f>
        <v>59</v>
      </c>
      <c r="AC3" s="8">
        <f>VLOOKUP($C3,[1]Data!$C$3:$Z$86,AC$1, FALSE)</f>
        <v>-86</v>
      </c>
      <c r="AE3" s="8">
        <f t="shared" si="0"/>
        <v>17</v>
      </c>
      <c r="AF3" s="8">
        <f t="shared" si="0"/>
        <v>17</v>
      </c>
      <c r="AG3" s="8">
        <f t="shared" si="0"/>
        <v>6</v>
      </c>
      <c r="AH3" s="8">
        <f t="shared" si="0"/>
        <v>16</v>
      </c>
      <c r="AI3" s="8">
        <f t="shared" si="0"/>
        <v>1</v>
      </c>
      <c r="AJ3" s="8">
        <f t="shared" si="0"/>
        <v>4</v>
      </c>
      <c r="AK3" s="8">
        <f t="shared" si="0"/>
        <v>13</v>
      </c>
      <c r="AL3" s="8">
        <f t="shared" si="0"/>
        <v>5</v>
      </c>
      <c r="AM3" s="8">
        <f t="shared" si="0"/>
        <v>3</v>
      </c>
      <c r="AN3" s="8">
        <f t="shared" si="0"/>
        <v>8</v>
      </c>
      <c r="AO3" s="8">
        <f t="shared" si="1"/>
        <v>7</v>
      </c>
      <c r="AP3" s="8">
        <f t="shared" si="1"/>
        <v>9</v>
      </c>
      <c r="AQ3" s="8">
        <f t="shared" si="1"/>
        <v>2</v>
      </c>
      <c r="AR3" s="8">
        <f t="shared" si="1"/>
        <v>14</v>
      </c>
      <c r="AS3" s="8">
        <f t="shared" si="1"/>
        <v>10</v>
      </c>
      <c r="AT3" s="8">
        <f t="shared" si="1"/>
        <v>12</v>
      </c>
      <c r="AU3" s="8">
        <f t="shared" si="1"/>
        <v>21</v>
      </c>
      <c r="AV3" s="8">
        <f t="shared" si="1"/>
        <v>11</v>
      </c>
      <c r="AW3" s="8">
        <f t="shared" si="1"/>
        <v>22</v>
      </c>
      <c r="AX3" s="8">
        <f t="shared" si="1"/>
        <v>20</v>
      </c>
      <c r="AY3" s="8">
        <f t="shared" si="1"/>
        <v>17</v>
      </c>
      <c r="AZ3" s="8">
        <f t="shared" si="1"/>
        <v>15</v>
      </c>
      <c r="BA3" s="8">
        <f t="shared" si="1"/>
        <v>23</v>
      </c>
      <c r="BC3" s="8" t="str">
        <f t="shared" si="2"/>
        <v/>
      </c>
      <c r="BD3" s="8" t="str">
        <f t="shared" si="3"/>
        <v/>
      </c>
      <c r="BE3" s="8">
        <f t="shared" ref="BE3:BE15" si="27">IF(AG3&gt;15, "", IF(I3=0, "", I3))</f>
        <v>262</v>
      </c>
      <c r="BF3" s="8" t="str">
        <f t="shared" si="5"/>
        <v/>
      </c>
      <c r="BG3" s="8">
        <f t="shared" si="6"/>
        <v>563</v>
      </c>
      <c r="BH3" s="8">
        <f t="shared" si="7"/>
        <v>416</v>
      </c>
      <c r="BI3" s="8">
        <f t="shared" si="8"/>
        <v>91</v>
      </c>
      <c r="BJ3" s="8">
        <f t="shared" si="9"/>
        <v>320</v>
      </c>
      <c r="BK3" s="8">
        <f t="shared" si="10"/>
        <v>435</v>
      </c>
      <c r="BL3" s="8">
        <f t="shared" si="11"/>
        <v>256</v>
      </c>
      <c r="BM3" s="8">
        <f t="shared" si="12"/>
        <v>257</v>
      </c>
      <c r="BN3" s="8">
        <f t="shared" si="13"/>
        <v>251</v>
      </c>
      <c r="BO3" s="8">
        <f t="shared" si="14"/>
        <v>466</v>
      </c>
      <c r="BP3" s="8">
        <f t="shared" si="15"/>
        <v>85</v>
      </c>
      <c r="BQ3" s="8">
        <f t="shared" si="16"/>
        <v>236</v>
      </c>
      <c r="BR3" s="8">
        <f t="shared" si="17"/>
        <v>149</v>
      </c>
      <c r="BS3" s="8" t="str">
        <f t="shared" si="18"/>
        <v/>
      </c>
      <c r="BT3" s="8">
        <f t="shared" si="19"/>
        <v>204</v>
      </c>
      <c r="BU3" s="8" t="str">
        <f t="shared" si="20"/>
        <v/>
      </c>
      <c r="BV3" s="8" t="str">
        <f t="shared" si="21"/>
        <v/>
      </c>
      <c r="BW3" s="8" t="str">
        <f t="shared" si="22"/>
        <v/>
      </c>
      <c r="BX3" s="8">
        <f t="shared" si="23"/>
        <v>59</v>
      </c>
      <c r="BY3" s="8" t="str">
        <f t="shared" si="24"/>
        <v/>
      </c>
      <c r="BZ3" s="8">
        <f>BE3</f>
        <v>262</v>
      </c>
      <c r="CA3" s="8">
        <f>BG3</f>
        <v>563</v>
      </c>
      <c r="CB3" s="8">
        <f t="shared" si="25"/>
        <v>416</v>
      </c>
      <c r="CC3" s="8">
        <f t="shared" si="25"/>
        <v>91</v>
      </c>
      <c r="CD3" s="8">
        <f t="shared" si="25"/>
        <v>320</v>
      </c>
      <c r="CE3" s="8">
        <f t="shared" si="25"/>
        <v>435</v>
      </c>
      <c r="CF3" s="8">
        <f t="shared" si="25"/>
        <v>256</v>
      </c>
      <c r="CG3" s="8">
        <f t="shared" si="25"/>
        <v>257</v>
      </c>
      <c r="CH3" s="8">
        <f t="shared" ref="CH3:CL3" si="28">BN3</f>
        <v>251</v>
      </c>
      <c r="CI3" s="8">
        <f t="shared" si="28"/>
        <v>466</v>
      </c>
      <c r="CJ3" s="8">
        <f t="shared" si="28"/>
        <v>85</v>
      </c>
      <c r="CK3" s="8">
        <f t="shared" si="28"/>
        <v>236</v>
      </c>
      <c r="CL3" s="8">
        <f t="shared" si="28"/>
        <v>149</v>
      </c>
      <c r="CM3" s="8">
        <f>BT3</f>
        <v>204</v>
      </c>
      <c r="CN3" s="8">
        <f>BX3</f>
        <v>59</v>
      </c>
      <c r="CO3" s="8" t="str">
        <f>B3</f>
        <v>Connors</v>
      </c>
      <c r="CP3" s="4">
        <f>BZ3+$DG3</f>
        <v>273.16221792201389</v>
      </c>
      <c r="CQ3" s="4">
        <f t="shared" si="26"/>
        <v>574.16221792201384</v>
      </c>
      <c r="CR3" s="4">
        <f t="shared" si="26"/>
        <v>427.16221792201389</v>
      </c>
      <c r="CS3" s="4">
        <f t="shared" si="26"/>
        <v>102.16221792201389</v>
      </c>
      <c r="CT3" s="4">
        <f t="shared" si="26"/>
        <v>331.16221792201389</v>
      </c>
      <c r="CU3" s="4">
        <f>CD3+$DG3</f>
        <v>331.16221792201389</v>
      </c>
      <c r="CV3" s="4">
        <f t="shared" si="26"/>
        <v>267.16221792201389</v>
      </c>
      <c r="CW3" s="4">
        <f t="shared" si="26"/>
        <v>268.16221792201389</v>
      </c>
      <c r="CX3" s="4">
        <f t="shared" si="26"/>
        <v>262.16221792201389</v>
      </c>
      <c r="CY3" s="4">
        <f t="shared" si="26"/>
        <v>477.16221792201389</v>
      </c>
      <c r="CZ3" s="4">
        <f t="shared" si="26"/>
        <v>96.162217922013895</v>
      </c>
      <c r="DA3" s="4">
        <f t="shared" si="26"/>
        <v>247.16221792201389</v>
      </c>
      <c r="DB3" s="4">
        <f t="shared" si="26"/>
        <v>160.16221792201389</v>
      </c>
      <c r="DC3" s="4">
        <f>CL3+$DG3</f>
        <v>160.16221792201389</v>
      </c>
      <c r="DD3" s="4">
        <f>CM3+$DG3</f>
        <v>215.16221792201389</v>
      </c>
      <c r="DE3" s="8">
        <f>VLOOKUP(B3,[1]Ranking!$C$3:$BM$19, 34, FALSE)</f>
        <v>57</v>
      </c>
      <c r="DF3" s="4">
        <f>VLOOKUP(B3,[1]Ranking!$C$3:$BM$19, 63, FALSE)</f>
        <v>636.2464215547916</v>
      </c>
      <c r="DG3" s="4">
        <f>DF3/DE3</f>
        <v>11.162217922013888</v>
      </c>
    </row>
    <row r="4" spans="1:111" x14ac:dyDescent="0.3">
      <c r="A4" s="8">
        <v>3</v>
      </c>
      <c r="B4" s="8" t="str">
        <f>VLOOKUP(A4,[1]Ranking!$Y$3:$AA$19, 3, FALSE)</f>
        <v>Djokovic</v>
      </c>
      <c r="C4" s="8" t="s">
        <v>24</v>
      </c>
      <c r="G4" s="8">
        <f>VLOOKUP($C4,[1]Data!$C$3:$Z$86,G$1, FALSE)</f>
        <v>42</v>
      </c>
      <c r="H4" s="8">
        <f>VLOOKUP($C4,[1]Data!$C$3:$Z$86,H$1, FALSE)</f>
        <v>176</v>
      </c>
      <c r="I4" s="8">
        <f>VLOOKUP($C4,[1]Data!$C$3:$Z$86,I$1, FALSE)</f>
        <v>291</v>
      </c>
      <c r="J4" s="8">
        <f>VLOOKUP($C4,[1]Data!$C$3:$Z$86,J$1, FALSE)</f>
        <v>-66</v>
      </c>
      <c r="K4" s="8">
        <f>VLOOKUP($C4,[1]Data!$C$3:$Z$86,K$1, FALSE)</f>
        <v>132</v>
      </c>
      <c r="L4" s="8">
        <f>VLOOKUP($C4,[1]Data!$C$3:$Z$86,L$1, FALSE)</f>
        <v>206</v>
      </c>
      <c r="M4" s="8">
        <f>VLOOKUP($C4,[1]Data!$C$3:$Z$86,M$1, FALSE)</f>
        <v>495</v>
      </c>
      <c r="N4" s="8">
        <f>VLOOKUP($C4,[1]Data!$C$3:$Z$86,N$1, FALSE)</f>
        <v>328</v>
      </c>
      <c r="O4" s="8">
        <f>VLOOKUP($C4,[1]Data!$C$3:$Z$86,O$1, FALSE)</f>
        <v>439</v>
      </c>
      <c r="P4" s="8">
        <f>VLOOKUP($C4,[1]Data!$C$3:$Z$86,P$1, FALSE)</f>
        <v>557</v>
      </c>
      <c r="Q4" s="8">
        <f>VLOOKUP($C4,[1]Data!$C$3:$Z$86,Q$1, FALSE)</f>
        <v>552</v>
      </c>
      <c r="R4" s="8">
        <f>VLOOKUP($C4,[1]Data!$C$3:$Z$86,R$1, FALSE)</f>
        <v>18</v>
      </c>
      <c r="S4" s="8">
        <f>VLOOKUP($C4,[1]Data!$C$3:$Z$86,S$1, FALSE)</f>
        <v>103</v>
      </c>
      <c r="T4" s="8">
        <f>VLOOKUP($C4,[1]Data!$C$3:$Z$86,T$1, FALSE)</f>
        <v>499</v>
      </c>
      <c r="U4" s="8">
        <f>VLOOKUP($C4,[1]Data!$C$3:$Z$86,U$1, FALSE)</f>
        <v>0</v>
      </c>
      <c r="V4" s="8">
        <f>VLOOKUP($C4,[1]Data!$C$3:$Z$86,V$1, FALSE)</f>
        <v>0</v>
      </c>
      <c r="W4" s="8">
        <f>VLOOKUP($C4,[1]Data!$C$3:$Z$86,W$1, FALSE)</f>
        <v>0</v>
      </c>
      <c r="X4" s="8">
        <f>VLOOKUP($C4,[1]Data!$C$3:$Z$86,X$1, FALSE)</f>
        <v>0</v>
      </c>
      <c r="Y4" s="8">
        <f>VLOOKUP($C4,[1]Data!$C$3:$Z$86,Y$1, FALSE)</f>
        <v>0</v>
      </c>
      <c r="Z4" s="8">
        <f>VLOOKUP($C4,[1]Data!$C$3:$Z$86,Z$1, FALSE)</f>
        <v>0</v>
      </c>
      <c r="AA4" s="8">
        <f>VLOOKUP($C4,[1]Data!$C$3:$Z$86,AA$1, FALSE)</f>
        <v>0</v>
      </c>
      <c r="AB4" s="8">
        <f>VLOOKUP($C4,[1]Data!$C$3:$Z$86,AB$1, FALSE)</f>
        <v>0</v>
      </c>
      <c r="AC4" s="8">
        <f>VLOOKUP($C4,[1]Data!$C$3:$Z$86,AC$1, FALSE)</f>
        <v>0</v>
      </c>
      <c r="AE4" s="8">
        <f t="shared" si="0"/>
        <v>12</v>
      </c>
      <c r="AF4" s="8">
        <f t="shared" si="0"/>
        <v>9</v>
      </c>
      <c r="AG4" s="8">
        <f t="shared" si="0"/>
        <v>7</v>
      </c>
      <c r="AH4" s="8">
        <f t="shared" si="0"/>
        <v>23</v>
      </c>
      <c r="AI4" s="8">
        <f t="shared" si="0"/>
        <v>10</v>
      </c>
      <c r="AJ4" s="8">
        <f t="shared" si="0"/>
        <v>8</v>
      </c>
      <c r="AK4" s="8">
        <f t="shared" si="0"/>
        <v>4</v>
      </c>
      <c r="AL4" s="8">
        <f t="shared" si="0"/>
        <v>6</v>
      </c>
      <c r="AM4" s="8">
        <f t="shared" si="0"/>
        <v>5</v>
      </c>
      <c r="AN4" s="8">
        <f t="shared" si="0"/>
        <v>1</v>
      </c>
      <c r="AO4" s="8">
        <f t="shared" si="1"/>
        <v>2</v>
      </c>
      <c r="AP4" s="8">
        <f t="shared" si="1"/>
        <v>13</v>
      </c>
      <c r="AQ4" s="8">
        <f t="shared" si="1"/>
        <v>11</v>
      </c>
      <c r="AR4" s="8">
        <f t="shared" si="1"/>
        <v>3</v>
      </c>
      <c r="AS4" s="8">
        <f t="shared" si="1"/>
        <v>14</v>
      </c>
      <c r="AT4" s="8">
        <f t="shared" si="1"/>
        <v>14</v>
      </c>
      <c r="AU4" s="8">
        <f t="shared" si="1"/>
        <v>14</v>
      </c>
      <c r="AV4" s="8">
        <f t="shared" si="1"/>
        <v>14</v>
      </c>
      <c r="AW4" s="8">
        <f t="shared" si="1"/>
        <v>14</v>
      </c>
      <c r="AX4" s="8">
        <f t="shared" si="1"/>
        <v>14</v>
      </c>
      <c r="AY4" s="8">
        <f t="shared" si="1"/>
        <v>14</v>
      </c>
      <c r="AZ4" s="8">
        <f t="shared" si="1"/>
        <v>14</v>
      </c>
      <c r="BA4" s="8">
        <f t="shared" si="1"/>
        <v>14</v>
      </c>
      <c r="BC4" s="8">
        <f t="shared" si="2"/>
        <v>42</v>
      </c>
      <c r="BD4" s="8">
        <f t="shared" si="3"/>
        <v>176</v>
      </c>
      <c r="BE4" s="8">
        <f t="shared" si="27"/>
        <v>291</v>
      </c>
      <c r="BF4" s="8">
        <f>J4</f>
        <v>-66</v>
      </c>
      <c r="BG4" s="8">
        <f t="shared" si="6"/>
        <v>132</v>
      </c>
      <c r="BH4" s="8">
        <f t="shared" si="7"/>
        <v>206</v>
      </c>
      <c r="BI4" s="8">
        <f t="shared" si="8"/>
        <v>495</v>
      </c>
      <c r="BJ4" s="8">
        <f t="shared" si="9"/>
        <v>328</v>
      </c>
      <c r="BK4" s="8">
        <f t="shared" si="10"/>
        <v>439</v>
      </c>
      <c r="BL4" s="8">
        <f t="shared" si="11"/>
        <v>557</v>
      </c>
      <c r="BM4" s="8">
        <f t="shared" si="12"/>
        <v>552</v>
      </c>
      <c r="BN4" s="8">
        <f t="shared" si="13"/>
        <v>18</v>
      </c>
      <c r="BO4" s="8">
        <f t="shared" si="14"/>
        <v>103</v>
      </c>
      <c r="BP4" s="8">
        <f t="shared" si="15"/>
        <v>499</v>
      </c>
      <c r="BQ4" s="8" t="str">
        <f t="shared" si="16"/>
        <v/>
      </c>
      <c r="BR4" s="8" t="str">
        <f t="shared" si="17"/>
        <v/>
      </c>
      <c r="BS4" s="8" t="str">
        <f t="shared" si="18"/>
        <v/>
      </c>
      <c r="BT4" s="8" t="str">
        <f t="shared" si="19"/>
        <v/>
      </c>
      <c r="BU4" s="8" t="str">
        <f t="shared" si="20"/>
        <v/>
      </c>
      <c r="BV4" s="8" t="str">
        <f t="shared" si="21"/>
        <v/>
      </c>
      <c r="BW4" s="8" t="str">
        <f t="shared" si="22"/>
        <v/>
      </c>
      <c r="BX4" s="8" t="str">
        <f t="shared" si="23"/>
        <v/>
      </c>
      <c r="BY4" s="8" t="str">
        <f t="shared" si="24"/>
        <v/>
      </c>
      <c r="BZ4" s="8">
        <f>BC4</f>
        <v>42</v>
      </c>
      <c r="CA4" s="8">
        <f t="shared" ref="CA4:CM4" si="29">BD4</f>
        <v>176</v>
      </c>
      <c r="CB4" s="8">
        <f t="shared" si="29"/>
        <v>291</v>
      </c>
      <c r="CC4" s="8">
        <f t="shared" si="29"/>
        <v>-66</v>
      </c>
      <c r="CD4" s="8">
        <f t="shared" si="29"/>
        <v>132</v>
      </c>
      <c r="CE4" s="8">
        <f t="shared" si="29"/>
        <v>206</v>
      </c>
      <c r="CF4" s="8">
        <f t="shared" si="29"/>
        <v>495</v>
      </c>
      <c r="CG4" s="8">
        <f t="shared" si="29"/>
        <v>328</v>
      </c>
      <c r="CH4" s="8">
        <f t="shared" si="29"/>
        <v>439</v>
      </c>
      <c r="CI4" s="8">
        <f t="shared" si="29"/>
        <v>557</v>
      </c>
      <c r="CJ4" s="8">
        <f t="shared" si="29"/>
        <v>552</v>
      </c>
      <c r="CK4" s="8">
        <f t="shared" si="29"/>
        <v>18</v>
      </c>
      <c r="CL4" s="8">
        <f t="shared" si="29"/>
        <v>103</v>
      </c>
      <c r="CM4" s="8">
        <f t="shared" si="29"/>
        <v>499</v>
      </c>
      <c r="CO4" s="8" t="str">
        <f>B4</f>
        <v>Djokovic</v>
      </c>
      <c r="CP4" s="4">
        <f>BZ4+$DG4</f>
        <v>34.227882755363581</v>
      </c>
      <c r="CQ4" s="4">
        <f t="shared" si="26"/>
        <v>168.22788275536357</v>
      </c>
      <c r="CR4" s="4">
        <f t="shared" si="26"/>
        <v>283.22788275536357</v>
      </c>
      <c r="CS4" s="4">
        <f t="shared" si="26"/>
        <v>-73.772117244636419</v>
      </c>
      <c r="CT4" s="4">
        <f>CB4+$DG4</f>
        <v>283.22788275536357</v>
      </c>
      <c r="CU4" s="4">
        <f t="shared" si="26"/>
        <v>198.22788275536357</v>
      </c>
      <c r="CV4" s="4">
        <f t="shared" si="26"/>
        <v>487.22788275536357</v>
      </c>
      <c r="CW4" s="4">
        <f t="shared" si="26"/>
        <v>320.22788275536357</v>
      </c>
      <c r="CX4" s="4">
        <f t="shared" si="26"/>
        <v>431.22788275536357</v>
      </c>
      <c r="CY4" s="4">
        <f t="shared" si="26"/>
        <v>549.22788275536357</v>
      </c>
      <c r="CZ4" s="4">
        <f t="shared" si="26"/>
        <v>544.22788275536357</v>
      </c>
      <c r="DA4" s="4">
        <f t="shared" si="26"/>
        <v>10.227882755363579</v>
      </c>
      <c r="DB4" s="4">
        <f t="shared" si="26"/>
        <v>95.227882755363581</v>
      </c>
      <c r="DC4" s="4">
        <f t="shared" si="26"/>
        <v>491.22788275536357</v>
      </c>
      <c r="DD4" s="4"/>
      <c r="DE4" s="8">
        <f>VLOOKUP(B4,[1]Ranking!$C$3:$BM$19, 34, FALSE)</f>
        <v>54</v>
      </c>
      <c r="DF4" s="4">
        <f>VLOOKUP(B4,[1]Ranking!$C$3:$BM$19, 63, FALSE)</f>
        <v>-419.69433121036673</v>
      </c>
      <c r="DG4" s="4">
        <f>DF4/DE4</f>
        <v>-7.7721172446364211</v>
      </c>
    </row>
    <row r="5" spans="1:111" x14ac:dyDescent="0.3">
      <c r="A5" s="8">
        <v>4</v>
      </c>
      <c r="B5" s="8" t="str">
        <f>VLOOKUP(A5,[1]Ranking!$Y$3:$AA$19, 3, FALSE)</f>
        <v>Becker</v>
      </c>
      <c r="C5" s="8" t="s">
        <v>25</v>
      </c>
      <c r="G5" s="8">
        <f>VLOOKUP($C5,[1]Data!$C$3:$Z$86,G$1, FALSE)</f>
        <v>35</v>
      </c>
      <c r="H5" s="8">
        <f>VLOOKUP($C5,[1]Data!$C$3:$Z$86,H$1, FALSE)</f>
        <v>527</v>
      </c>
      <c r="I5" s="8">
        <f>VLOOKUP($C5,[1]Data!$C$3:$Z$86,I$1, FALSE)</f>
        <v>516</v>
      </c>
      <c r="J5" s="8">
        <f>VLOOKUP($C5,[1]Data!$C$3:$Z$86,J$1, FALSE)</f>
        <v>0</v>
      </c>
      <c r="K5" s="8">
        <f>VLOOKUP($C5,[1]Data!$C$3:$Z$86,K$1, FALSE)</f>
        <v>347</v>
      </c>
      <c r="L5" s="8">
        <f>VLOOKUP($C5,[1]Data!$C$3:$Z$86,L$1, FALSE)</f>
        <v>429</v>
      </c>
      <c r="M5" s="8">
        <f>VLOOKUP($C5,[1]Data!$C$3:$Z$86,M$1, FALSE)</f>
        <v>295</v>
      </c>
      <c r="N5" s="8">
        <f>VLOOKUP($C5,[1]Data!$C$3:$Z$86,N$1, FALSE)</f>
        <v>329</v>
      </c>
      <c r="O5" s="8">
        <f>VLOOKUP($C5,[1]Data!$C$3:$Z$86,O$1, FALSE)</f>
        <v>179</v>
      </c>
      <c r="P5" s="8">
        <f>VLOOKUP($C5,[1]Data!$C$3:$Z$86,P$1, FALSE)</f>
        <v>335</v>
      </c>
      <c r="Q5" s="8">
        <f>VLOOKUP($C5,[1]Data!$C$3:$Z$86,Q$1, FALSE)</f>
        <v>129</v>
      </c>
      <c r="R5" s="8">
        <f>VLOOKUP($C5,[1]Data!$C$3:$Z$86,R$1, FALSE)</f>
        <v>222</v>
      </c>
      <c r="S5" s="8">
        <f>VLOOKUP($C5,[1]Data!$C$3:$Z$86,S$1, FALSE)</f>
        <v>-47</v>
      </c>
      <c r="T5" s="8">
        <f>VLOOKUP($C5,[1]Data!$C$3:$Z$86,T$1, FALSE)</f>
        <v>170</v>
      </c>
      <c r="U5" s="8">
        <f>VLOOKUP($C5,[1]Data!$C$3:$Z$86,U$1, FALSE)</f>
        <v>0</v>
      </c>
      <c r="V5" s="8">
        <f>VLOOKUP($C5,[1]Data!$C$3:$Z$86,V$1, FALSE)</f>
        <v>149</v>
      </c>
      <c r="W5" s="8">
        <f>VLOOKUP($C5,[1]Data!$C$3:$Z$86,W$1, FALSE)</f>
        <v>0</v>
      </c>
      <c r="X5" s="8">
        <f>VLOOKUP($C5,[1]Data!$C$3:$Z$86,X$1, FALSE)</f>
        <v>0</v>
      </c>
      <c r="Y5" s="8">
        <f>VLOOKUP($C5,[1]Data!$C$3:$Z$86,Y$1, FALSE)</f>
        <v>0</v>
      </c>
      <c r="Z5" s="8">
        <f>VLOOKUP($C5,[1]Data!$C$3:$Z$86,Z$1, FALSE)</f>
        <v>0</v>
      </c>
      <c r="AA5" s="8">
        <f>VLOOKUP($C5,[1]Data!$C$3:$Z$86,AA$1, FALSE)</f>
        <v>0</v>
      </c>
      <c r="AB5" s="8">
        <f>VLOOKUP($C5,[1]Data!$C$3:$Z$86,AB$1, FALSE)</f>
        <v>0</v>
      </c>
      <c r="AC5" s="8">
        <f>VLOOKUP($C5,[1]Data!$C$3:$Z$86,AC$1, FALSE)</f>
        <v>0</v>
      </c>
      <c r="AE5" s="8">
        <f t="shared" si="0"/>
        <v>13</v>
      </c>
      <c r="AF5" s="8">
        <f t="shared" si="0"/>
        <v>1</v>
      </c>
      <c r="AG5" s="8">
        <f t="shared" si="0"/>
        <v>2</v>
      </c>
      <c r="AH5" s="8">
        <f t="shared" si="0"/>
        <v>14</v>
      </c>
      <c r="AI5" s="8">
        <f t="shared" si="0"/>
        <v>4</v>
      </c>
      <c r="AJ5" s="8">
        <f t="shared" si="0"/>
        <v>3</v>
      </c>
      <c r="AK5" s="8">
        <f t="shared" si="0"/>
        <v>7</v>
      </c>
      <c r="AL5" s="8">
        <f t="shared" si="0"/>
        <v>6</v>
      </c>
      <c r="AM5" s="8">
        <f t="shared" si="0"/>
        <v>9</v>
      </c>
      <c r="AN5" s="8">
        <f t="shared" si="0"/>
        <v>5</v>
      </c>
      <c r="AO5" s="8">
        <f t="shared" si="1"/>
        <v>12</v>
      </c>
      <c r="AP5" s="8">
        <f t="shared" si="1"/>
        <v>8</v>
      </c>
      <c r="AQ5" s="8">
        <f t="shared" si="1"/>
        <v>23</v>
      </c>
      <c r="AR5" s="8">
        <f t="shared" si="1"/>
        <v>10</v>
      </c>
      <c r="AS5" s="8">
        <f t="shared" si="1"/>
        <v>14</v>
      </c>
      <c r="AT5" s="8">
        <f t="shared" si="1"/>
        <v>11</v>
      </c>
      <c r="AU5" s="8">
        <f t="shared" si="1"/>
        <v>14</v>
      </c>
      <c r="AV5" s="8">
        <f t="shared" si="1"/>
        <v>14</v>
      </c>
      <c r="AW5" s="8">
        <f t="shared" si="1"/>
        <v>14</v>
      </c>
      <c r="AX5" s="8">
        <f t="shared" si="1"/>
        <v>14</v>
      </c>
      <c r="AY5" s="8">
        <f t="shared" si="1"/>
        <v>14</v>
      </c>
      <c r="AZ5" s="8">
        <f t="shared" si="1"/>
        <v>14</v>
      </c>
      <c r="BA5" s="8">
        <f t="shared" si="1"/>
        <v>14</v>
      </c>
      <c r="BC5" s="8">
        <f t="shared" si="2"/>
        <v>35</v>
      </c>
      <c r="BD5" s="8">
        <f t="shared" si="3"/>
        <v>527</v>
      </c>
      <c r="BE5" s="8">
        <f t="shared" si="27"/>
        <v>516</v>
      </c>
      <c r="BF5" s="8" t="str">
        <f t="shared" si="5"/>
        <v/>
      </c>
      <c r="BG5" s="8">
        <f t="shared" si="6"/>
        <v>347</v>
      </c>
      <c r="BH5" s="8">
        <f t="shared" si="7"/>
        <v>429</v>
      </c>
      <c r="BI5" s="8">
        <f t="shared" si="8"/>
        <v>295</v>
      </c>
      <c r="BJ5" s="8">
        <f t="shared" si="9"/>
        <v>329</v>
      </c>
      <c r="BK5" s="8">
        <f t="shared" si="10"/>
        <v>179</v>
      </c>
      <c r="BL5" s="8">
        <f t="shared" si="11"/>
        <v>335</v>
      </c>
      <c r="BM5" s="8">
        <f t="shared" si="12"/>
        <v>129</v>
      </c>
      <c r="BN5" s="8">
        <f t="shared" si="13"/>
        <v>222</v>
      </c>
      <c r="BO5" s="8">
        <f>S5</f>
        <v>-47</v>
      </c>
      <c r="BP5" s="8">
        <f t="shared" si="15"/>
        <v>170</v>
      </c>
      <c r="BQ5" s="8" t="str">
        <f t="shared" si="16"/>
        <v/>
      </c>
      <c r="BR5" s="8">
        <f t="shared" si="17"/>
        <v>149</v>
      </c>
      <c r="BS5" s="8" t="str">
        <f t="shared" si="18"/>
        <v/>
      </c>
      <c r="BT5" s="8" t="str">
        <f t="shared" si="19"/>
        <v/>
      </c>
      <c r="BU5" s="8" t="str">
        <f t="shared" si="20"/>
        <v/>
      </c>
      <c r="BV5" s="8" t="str">
        <f t="shared" si="21"/>
        <v/>
      </c>
      <c r="BW5" s="8" t="str">
        <f t="shared" si="22"/>
        <v/>
      </c>
      <c r="BX5" s="8" t="str">
        <f t="shared" si="23"/>
        <v/>
      </c>
      <c r="BY5" s="8" t="str">
        <f t="shared" si="24"/>
        <v/>
      </c>
      <c r="BZ5" s="8">
        <f>BC5</f>
        <v>35</v>
      </c>
      <c r="CA5" s="8">
        <f>BD5</f>
        <v>527</v>
      </c>
      <c r="CB5" s="8">
        <f>BE5</f>
        <v>516</v>
      </c>
      <c r="CC5" s="8">
        <f>BG5</f>
        <v>347</v>
      </c>
      <c r="CD5" s="8">
        <f t="shared" ref="CD5:CI5" si="30">BH5</f>
        <v>429</v>
      </c>
      <c r="CE5" s="8">
        <f t="shared" si="30"/>
        <v>295</v>
      </c>
      <c r="CF5" s="8">
        <f t="shared" si="30"/>
        <v>329</v>
      </c>
      <c r="CG5" s="8">
        <f t="shared" si="30"/>
        <v>179</v>
      </c>
      <c r="CH5" s="8">
        <f t="shared" si="30"/>
        <v>335</v>
      </c>
      <c r="CI5" s="8">
        <f t="shared" si="30"/>
        <v>129</v>
      </c>
      <c r="CJ5" s="8">
        <f>BN5</f>
        <v>222</v>
      </c>
      <c r="CK5" s="8">
        <f>BO5</f>
        <v>-47</v>
      </c>
      <c r="CL5" s="8">
        <f>BP5</f>
        <v>170</v>
      </c>
      <c r="CM5" s="8">
        <f>BR5</f>
        <v>149</v>
      </c>
      <c r="CO5" s="8" t="str">
        <f>B5</f>
        <v>Becker</v>
      </c>
      <c r="CP5" s="4">
        <f>BZ5+$DG5</f>
        <v>46.162217922013895</v>
      </c>
      <c r="CQ5" s="4">
        <f t="shared" si="26"/>
        <v>538.16221792201384</v>
      </c>
      <c r="CR5" s="4">
        <f t="shared" si="26"/>
        <v>527.16221792201384</v>
      </c>
      <c r="CS5" s="4">
        <f t="shared" si="26"/>
        <v>358.16221792201389</v>
      </c>
      <c r="CT5" s="4">
        <f>CD5+$DG5</f>
        <v>440.16221792201389</v>
      </c>
      <c r="CU5" s="4">
        <f>CD5+$DG5</f>
        <v>440.16221792201389</v>
      </c>
      <c r="CV5" s="4">
        <f t="shared" si="26"/>
        <v>340.16221792201389</v>
      </c>
      <c r="CW5" s="4">
        <f t="shared" si="26"/>
        <v>190.16221792201389</v>
      </c>
      <c r="CX5" s="4">
        <f t="shared" si="26"/>
        <v>346.16221792201389</v>
      </c>
      <c r="CY5" s="4">
        <f t="shared" si="26"/>
        <v>140.16221792201389</v>
      </c>
      <c r="CZ5" s="4">
        <f t="shared" si="26"/>
        <v>233.16221792201389</v>
      </c>
      <c r="DA5" s="4">
        <f t="shared" si="26"/>
        <v>-35.837782077986105</v>
      </c>
      <c r="DB5" s="4">
        <f t="shared" si="26"/>
        <v>181.16221792201389</v>
      </c>
      <c r="DC5" s="4">
        <f t="shared" si="26"/>
        <v>160.16221792201389</v>
      </c>
      <c r="DD5" s="4"/>
      <c r="DE5" s="8">
        <f>VLOOKUP(B5,[1]Ranking!$C$3:$BM$19, 34, FALSE)</f>
        <v>46</v>
      </c>
      <c r="DF5" s="4">
        <f>VLOOKUP(B5,[1]Ranking!$C$3:$BM$19, 63, FALSE)</f>
        <v>513.46202441263904</v>
      </c>
      <c r="DG5" s="4">
        <f>DF5/DE5</f>
        <v>11.162217922013893</v>
      </c>
    </row>
    <row r="6" spans="1:111" x14ac:dyDescent="0.3">
      <c r="A6" s="13" t="s">
        <v>1</v>
      </c>
      <c r="B6" s="13"/>
    </row>
    <row r="7" spans="1:111" x14ac:dyDescent="0.3">
      <c r="A7" s="8">
        <v>5</v>
      </c>
      <c r="B7" s="8" t="str">
        <f>VLOOKUP(A7,[1]Ranking!$Y$3:$AA$19, 3, FALSE)</f>
        <v>Borg</v>
      </c>
      <c r="C7" s="8" t="s">
        <v>26</v>
      </c>
      <c r="D7" s="3">
        <f t="shared" ref="D7:D18" ca="1" si="31">RAND()</f>
        <v>0.46069923255731204</v>
      </c>
      <c r="E7" s="8">
        <f t="shared" ref="E7:E18" ca="1" si="32">RANK(D7,$D$7:$D$18)</f>
        <v>6</v>
      </c>
      <c r="F7" s="8" t="str">
        <f>B7</f>
        <v>Borg</v>
      </c>
      <c r="G7" s="8">
        <f>VLOOKUP($C7,[1]Data!$C$3:$Z$86,G$1, FALSE)</f>
        <v>91</v>
      </c>
      <c r="H7" s="8">
        <f>VLOOKUP($C7,[1]Data!$C$3:$Z$86,H$1, FALSE)</f>
        <v>9</v>
      </c>
      <c r="I7" s="8">
        <f>VLOOKUP($C7,[1]Data!$C$3:$Z$86,I$1, FALSE)</f>
        <v>184</v>
      </c>
      <c r="J7" s="8">
        <f>VLOOKUP($C7,[1]Data!$C$3:$Z$86,J$1, FALSE)</f>
        <v>466</v>
      </c>
      <c r="K7" s="8">
        <f>VLOOKUP($C7,[1]Data!$C$3:$Z$86,K$1, FALSE)</f>
        <v>572</v>
      </c>
      <c r="L7" s="8">
        <f>VLOOKUP($C7,[1]Data!$C$3:$Z$86,L$1, FALSE)</f>
        <v>442</v>
      </c>
      <c r="M7" s="8">
        <f>VLOOKUP($C7,[1]Data!$C$3:$Z$86,M$1, FALSE)</f>
        <v>539</v>
      </c>
      <c r="N7" s="8">
        <f>VLOOKUP($C7,[1]Data!$C$3:$Z$86,N$1, FALSE)</f>
        <v>470</v>
      </c>
      <c r="O7" s="8">
        <f>VLOOKUP($C7,[1]Data!$C$3:$Z$86,O$1, FALSE)</f>
        <v>519</v>
      </c>
      <c r="P7" s="8">
        <f>VLOOKUP($C7,[1]Data!$C$3:$Z$86,P$1, FALSE)</f>
        <v>0</v>
      </c>
      <c r="Q7" s="8">
        <f>VLOOKUP($C7,[1]Data!$C$3:$Z$86,Q$1, FALSE)</f>
        <v>0</v>
      </c>
      <c r="R7" s="8">
        <f>VLOOKUP($C7,[1]Data!$C$3:$Z$86,R$1, FALSE)</f>
        <v>0</v>
      </c>
      <c r="S7" s="8">
        <f>VLOOKUP($C7,[1]Data!$C$3:$Z$86,S$1, FALSE)</f>
        <v>0</v>
      </c>
      <c r="T7" s="8">
        <f>VLOOKUP($C7,[1]Data!$C$3:$Z$86,T$1, FALSE)</f>
        <v>0</v>
      </c>
      <c r="U7" s="8">
        <f>VLOOKUP($C7,[1]Data!$C$3:$Z$86,U$1, FALSE)</f>
        <v>0</v>
      </c>
      <c r="V7" s="8">
        <f>VLOOKUP($C7,[1]Data!$C$3:$Z$86,V$1, FALSE)</f>
        <v>0</v>
      </c>
      <c r="W7" s="8">
        <f>VLOOKUP($C7,[1]Data!$C$3:$Z$86,W$1, FALSE)</f>
        <v>0</v>
      </c>
      <c r="X7" s="8">
        <f>VLOOKUP($C7,[1]Data!$C$3:$Z$86,X$1, FALSE)</f>
        <v>0</v>
      </c>
      <c r="Y7" s="8">
        <f>VLOOKUP($C7,[1]Data!$C$3:$Z$86,Y$1, FALSE)</f>
        <v>0</v>
      </c>
      <c r="Z7" s="8">
        <f>VLOOKUP($C7,[1]Data!$C$3:$Z$86,Z$1, FALSE)</f>
        <v>0</v>
      </c>
      <c r="AA7" s="8">
        <f>VLOOKUP($C7,[1]Data!$C$3:$Z$86,AA$1, FALSE)</f>
        <v>0</v>
      </c>
      <c r="AB7" s="8">
        <f>VLOOKUP($C7,[1]Data!$C$3:$Z$86,AB$1, FALSE)</f>
        <v>0</v>
      </c>
      <c r="AC7" s="8">
        <f>VLOOKUP($C7,[1]Data!$C$3:$Z$86,AC$1, FALSE)</f>
        <v>0</v>
      </c>
      <c r="AE7" s="8">
        <f t="shared" ref="AE7:AT18" si="33">RANK(G7,$G7:$AC7)</f>
        <v>8</v>
      </c>
      <c r="AF7" s="8">
        <f t="shared" si="33"/>
        <v>9</v>
      </c>
      <c r="AG7" s="8">
        <f t="shared" si="33"/>
        <v>7</v>
      </c>
      <c r="AH7" s="8">
        <f t="shared" si="33"/>
        <v>5</v>
      </c>
      <c r="AI7" s="8">
        <f t="shared" si="33"/>
        <v>1</v>
      </c>
      <c r="AJ7" s="8">
        <f t="shared" si="33"/>
        <v>6</v>
      </c>
      <c r="AK7" s="8">
        <f t="shared" si="33"/>
        <v>2</v>
      </c>
      <c r="AL7" s="8">
        <f t="shared" si="33"/>
        <v>4</v>
      </c>
      <c r="AM7" s="8">
        <f t="shared" si="33"/>
        <v>3</v>
      </c>
      <c r="AN7" s="8">
        <f t="shared" si="33"/>
        <v>10</v>
      </c>
      <c r="AO7" s="8">
        <f t="shared" si="33"/>
        <v>10</v>
      </c>
      <c r="AP7" s="8">
        <f t="shared" si="33"/>
        <v>10</v>
      </c>
      <c r="AQ7" s="8">
        <f t="shared" si="33"/>
        <v>10</v>
      </c>
      <c r="AR7" s="8">
        <f t="shared" si="33"/>
        <v>10</v>
      </c>
      <c r="AS7" s="8">
        <f t="shared" si="33"/>
        <v>10</v>
      </c>
      <c r="AT7" s="8">
        <f t="shared" si="33"/>
        <v>10</v>
      </c>
      <c r="AU7" s="8">
        <f t="shared" ref="AU7:BA18" si="34">RANK(W7,$G7:$AC7)</f>
        <v>10</v>
      </c>
      <c r="AV7" s="8">
        <f t="shared" si="34"/>
        <v>10</v>
      </c>
      <c r="AW7" s="8">
        <f t="shared" si="34"/>
        <v>10</v>
      </c>
      <c r="AX7" s="8">
        <f t="shared" si="34"/>
        <v>10</v>
      </c>
      <c r="AY7" s="8">
        <f t="shared" si="34"/>
        <v>10</v>
      </c>
      <c r="AZ7" s="8">
        <f t="shared" si="34"/>
        <v>10</v>
      </c>
      <c r="BA7" s="8">
        <f t="shared" si="34"/>
        <v>10</v>
      </c>
      <c r="BC7" s="8">
        <f t="shared" si="2"/>
        <v>91</v>
      </c>
      <c r="BD7" s="8">
        <f t="shared" si="3"/>
        <v>9</v>
      </c>
      <c r="BE7" s="8">
        <f t="shared" si="27"/>
        <v>184</v>
      </c>
      <c r="BF7" s="8">
        <f t="shared" si="5"/>
        <v>466</v>
      </c>
      <c r="BG7" s="8">
        <f t="shared" si="6"/>
        <v>572</v>
      </c>
      <c r="BH7" s="8">
        <f t="shared" si="7"/>
        <v>442</v>
      </c>
      <c r="BI7" s="8">
        <f t="shared" si="8"/>
        <v>539</v>
      </c>
      <c r="BJ7" s="8">
        <f t="shared" si="9"/>
        <v>470</v>
      </c>
      <c r="BK7" s="8">
        <f t="shared" si="10"/>
        <v>519</v>
      </c>
      <c r="BL7" s="8" t="str">
        <f t="shared" si="11"/>
        <v/>
      </c>
      <c r="BM7" s="8" t="str">
        <f t="shared" si="12"/>
        <v/>
      </c>
      <c r="BN7" s="8" t="str">
        <f t="shared" si="13"/>
        <v/>
      </c>
      <c r="BO7" s="8" t="str">
        <f t="shared" si="14"/>
        <v/>
      </c>
      <c r="BP7" s="8" t="str">
        <f t="shared" si="15"/>
        <v/>
      </c>
      <c r="BQ7" s="8" t="str">
        <f t="shared" si="16"/>
        <v/>
      </c>
      <c r="BR7" s="8" t="str">
        <f t="shared" si="17"/>
        <v/>
      </c>
      <c r="BS7" s="8" t="str">
        <f t="shared" si="18"/>
        <v/>
      </c>
      <c r="BT7" s="8" t="str">
        <f t="shared" si="19"/>
        <v/>
      </c>
      <c r="BU7" s="8" t="str">
        <f t="shared" si="20"/>
        <v/>
      </c>
      <c r="BV7" s="8" t="str">
        <f t="shared" si="21"/>
        <v/>
      </c>
      <c r="BW7" s="8" t="str">
        <f t="shared" si="22"/>
        <v/>
      </c>
      <c r="BX7" s="8" t="str">
        <f t="shared" si="23"/>
        <v/>
      </c>
      <c r="BY7" s="8" t="str">
        <f t="shared" si="24"/>
        <v/>
      </c>
      <c r="BZ7" s="8">
        <f>BC7</f>
        <v>91</v>
      </c>
      <c r="CA7" s="8">
        <f t="shared" ref="CA7:CH7" si="35">BD7</f>
        <v>9</v>
      </c>
      <c r="CB7" s="8">
        <f t="shared" si="35"/>
        <v>184</v>
      </c>
      <c r="CC7" s="8">
        <f t="shared" si="35"/>
        <v>466</v>
      </c>
      <c r="CD7" s="8">
        <f t="shared" si="35"/>
        <v>572</v>
      </c>
      <c r="CE7" s="8">
        <f t="shared" si="35"/>
        <v>442</v>
      </c>
      <c r="CF7" s="8">
        <f t="shared" si="35"/>
        <v>539</v>
      </c>
      <c r="CG7" s="8">
        <f t="shared" si="35"/>
        <v>470</v>
      </c>
      <c r="CH7" s="8">
        <f t="shared" si="35"/>
        <v>519</v>
      </c>
      <c r="CI7" s="8">
        <v>0</v>
      </c>
      <c r="CO7" s="8" t="str">
        <f t="shared" ref="CO7:CO18" si="36">B7</f>
        <v>Borg</v>
      </c>
      <c r="CP7" s="4">
        <f t="shared" ref="CP7:DC18" si="37">BZ7+$DG7</f>
        <v>102.16221792201388</v>
      </c>
      <c r="CQ7" s="4">
        <f t="shared" si="37"/>
        <v>20.162217922013884</v>
      </c>
      <c r="CR7" s="4">
        <f t="shared" si="37"/>
        <v>195.16221792201389</v>
      </c>
      <c r="CS7" s="4">
        <f t="shared" si="37"/>
        <v>477.16221792201389</v>
      </c>
      <c r="CT7" s="4">
        <f t="shared" si="37"/>
        <v>583.16221792201384</v>
      </c>
      <c r="CU7" s="4">
        <f t="shared" si="37"/>
        <v>453.16221792201389</v>
      </c>
      <c r="CV7" s="4">
        <f t="shared" si="37"/>
        <v>550.16221792201384</v>
      </c>
      <c r="CW7" s="4">
        <f t="shared" si="37"/>
        <v>481.16221792201389</v>
      </c>
      <c r="CX7" s="4">
        <f t="shared" si="37"/>
        <v>530.16221792201384</v>
      </c>
      <c r="CY7" s="4">
        <f t="shared" si="37"/>
        <v>11.162217922013884</v>
      </c>
      <c r="CZ7" s="4"/>
      <c r="DA7" s="4"/>
      <c r="DB7" s="4"/>
      <c r="DC7" s="4"/>
      <c r="DD7" s="4"/>
      <c r="DE7" s="8">
        <f>VLOOKUP(B7,[1]Ranking!$C$3:$BM$19, 34, FALSE)</f>
        <v>27</v>
      </c>
      <c r="DF7" s="4">
        <f>VLOOKUP(B7,[1]Ranking!$C$3:$BM$19, 63, FALSE)</f>
        <v>301.37988389437487</v>
      </c>
      <c r="DG7" s="4">
        <f t="shared" ref="DG7:DG18" si="38">DF7/DE7</f>
        <v>11.162217922013884</v>
      </c>
    </row>
    <row r="8" spans="1:111" x14ac:dyDescent="0.3">
      <c r="A8" s="8">
        <v>6</v>
      </c>
      <c r="B8" s="8" t="str">
        <f>VLOOKUP(A8,[1]Ranking!$Y$3:$AA$19, 3, FALSE)</f>
        <v>Murray</v>
      </c>
      <c r="C8" s="8" t="s">
        <v>27</v>
      </c>
      <c r="D8" s="3">
        <f t="shared" ca="1" si="31"/>
        <v>0.18704981228723183</v>
      </c>
      <c r="E8" s="8">
        <f t="shared" ca="1" si="32"/>
        <v>10</v>
      </c>
      <c r="F8" s="8" t="str">
        <f t="shared" ref="F8:F18" si="39">B8</f>
        <v>Murray</v>
      </c>
      <c r="G8" s="8">
        <f>VLOOKUP($C8,[1]Data!$C$3:$Z$86,G$1, FALSE)</f>
        <v>69</v>
      </c>
      <c r="H8" s="8">
        <f>VLOOKUP($C8,[1]Data!$C$3:$Z$86,H$1, FALSE)</f>
        <v>151</v>
      </c>
      <c r="I8" s="8">
        <f>VLOOKUP($C8,[1]Data!$C$3:$Z$86,I$1, FALSE)</f>
        <v>0</v>
      </c>
      <c r="J8" s="8">
        <f>VLOOKUP($C8,[1]Data!$C$3:$Z$86,J$1, FALSE)</f>
        <v>209</v>
      </c>
      <c r="K8" s="8">
        <f>VLOOKUP($C8,[1]Data!$C$3:$Z$86,K$1, FALSE)</f>
        <v>216</v>
      </c>
      <c r="L8" s="8">
        <f>VLOOKUP($C8,[1]Data!$C$3:$Z$86,L$1, FALSE)</f>
        <v>307</v>
      </c>
      <c r="M8" s="8">
        <f>VLOOKUP($C8,[1]Data!$C$3:$Z$86,M$1, FALSE)</f>
        <v>283</v>
      </c>
      <c r="N8" s="8">
        <f>VLOOKUP($C8,[1]Data!$C$3:$Z$86,N$1, FALSE)</f>
        <v>451</v>
      </c>
      <c r="O8" s="8">
        <f>VLOOKUP($C8,[1]Data!$C$3:$Z$86,O$1, FALSE)</f>
        <v>452</v>
      </c>
      <c r="P8" s="8">
        <f>VLOOKUP($C8,[1]Data!$C$3:$Z$86,P$1, FALSE)</f>
        <v>161</v>
      </c>
      <c r="Q8" s="8">
        <f>VLOOKUP($C8,[1]Data!$C$3:$Z$86,Q$1, FALSE)</f>
        <v>377</v>
      </c>
      <c r="R8" s="8">
        <f>VLOOKUP($C8,[1]Data!$C$3:$Z$86,R$1, FALSE)</f>
        <v>442</v>
      </c>
      <c r="S8" s="8">
        <f>VLOOKUP($C8,[1]Data!$C$3:$Z$86,S$1, FALSE)</f>
        <v>122</v>
      </c>
      <c r="T8" s="8">
        <f>VLOOKUP($C8,[1]Data!$C$3:$Z$86,T$1, FALSE)</f>
        <v>0</v>
      </c>
      <c r="U8" s="8">
        <f>VLOOKUP($C8,[1]Data!$C$3:$Z$86,U$1, FALSE)</f>
        <v>0</v>
      </c>
      <c r="V8" s="8">
        <f>VLOOKUP($C8,[1]Data!$C$3:$Z$86,V$1, FALSE)</f>
        <v>0</v>
      </c>
      <c r="W8" s="8">
        <f>VLOOKUP($C8,[1]Data!$C$3:$Z$86,W$1, FALSE)</f>
        <v>0</v>
      </c>
      <c r="X8" s="8">
        <f>VLOOKUP($C8,[1]Data!$C$3:$Z$86,X$1, FALSE)</f>
        <v>0</v>
      </c>
      <c r="Y8" s="8">
        <f>VLOOKUP($C8,[1]Data!$C$3:$Z$86,Y$1, FALSE)</f>
        <v>0</v>
      </c>
      <c r="Z8" s="8">
        <f>VLOOKUP($C8,[1]Data!$C$3:$Z$86,Z$1, FALSE)</f>
        <v>0</v>
      </c>
      <c r="AA8" s="8">
        <f>VLOOKUP($C8,[1]Data!$C$3:$Z$86,AA$1, FALSE)</f>
        <v>0</v>
      </c>
      <c r="AB8" s="8">
        <f>VLOOKUP($C8,[1]Data!$C$3:$Z$86,AB$1, FALSE)</f>
        <v>0</v>
      </c>
      <c r="AC8" s="8">
        <f>VLOOKUP($C8,[1]Data!$C$3:$Z$86,AC$1, FALSE)</f>
        <v>0</v>
      </c>
      <c r="AE8" s="8">
        <f t="shared" si="33"/>
        <v>12</v>
      </c>
      <c r="AF8" s="8">
        <f t="shared" si="33"/>
        <v>10</v>
      </c>
      <c r="AG8" s="8">
        <f t="shared" si="33"/>
        <v>13</v>
      </c>
      <c r="AH8" s="8">
        <f t="shared" si="33"/>
        <v>8</v>
      </c>
      <c r="AI8" s="8">
        <f t="shared" si="33"/>
        <v>7</v>
      </c>
      <c r="AJ8" s="8">
        <f t="shared" si="33"/>
        <v>5</v>
      </c>
      <c r="AK8" s="8">
        <f t="shared" si="33"/>
        <v>6</v>
      </c>
      <c r="AL8" s="8">
        <f t="shared" si="33"/>
        <v>2</v>
      </c>
      <c r="AM8" s="8">
        <f t="shared" si="33"/>
        <v>1</v>
      </c>
      <c r="AN8" s="8">
        <f t="shared" si="33"/>
        <v>9</v>
      </c>
      <c r="AO8" s="8">
        <f t="shared" si="33"/>
        <v>4</v>
      </c>
      <c r="AP8" s="8">
        <f t="shared" si="33"/>
        <v>3</v>
      </c>
      <c r="AQ8" s="8">
        <f t="shared" si="33"/>
        <v>11</v>
      </c>
      <c r="AR8" s="8">
        <f t="shared" si="33"/>
        <v>13</v>
      </c>
      <c r="AS8" s="8">
        <f t="shared" si="33"/>
        <v>13</v>
      </c>
      <c r="AT8" s="8">
        <f t="shared" si="33"/>
        <v>13</v>
      </c>
      <c r="AU8" s="8">
        <f t="shared" si="34"/>
        <v>13</v>
      </c>
      <c r="AV8" s="8">
        <f t="shared" si="34"/>
        <v>13</v>
      </c>
      <c r="AW8" s="8">
        <f t="shared" si="34"/>
        <v>13</v>
      </c>
      <c r="AX8" s="8">
        <f t="shared" si="34"/>
        <v>13</v>
      </c>
      <c r="AY8" s="8">
        <f t="shared" si="34"/>
        <v>13</v>
      </c>
      <c r="AZ8" s="8">
        <f t="shared" si="34"/>
        <v>13</v>
      </c>
      <c r="BA8" s="8">
        <f t="shared" si="34"/>
        <v>13</v>
      </c>
      <c r="BC8" s="8">
        <f t="shared" si="2"/>
        <v>69</v>
      </c>
      <c r="BD8" s="8">
        <f t="shared" si="3"/>
        <v>151</v>
      </c>
      <c r="BE8" s="8" t="str">
        <f t="shared" si="27"/>
        <v/>
      </c>
      <c r="BF8" s="8">
        <f t="shared" si="5"/>
        <v>209</v>
      </c>
      <c r="BG8" s="8">
        <f t="shared" si="6"/>
        <v>216</v>
      </c>
      <c r="BH8" s="8">
        <f t="shared" si="7"/>
        <v>307</v>
      </c>
      <c r="BI8" s="8">
        <f t="shared" si="8"/>
        <v>283</v>
      </c>
      <c r="BJ8" s="8">
        <f t="shared" si="9"/>
        <v>451</v>
      </c>
      <c r="BK8" s="8">
        <f t="shared" si="10"/>
        <v>452</v>
      </c>
      <c r="BL8" s="8">
        <f t="shared" si="11"/>
        <v>161</v>
      </c>
      <c r="BM8" s="8">
        <f t="shared" si="12"/>
        <v>377</v>
      </c>
      <c r="BN8" s="8">
        <f t="shared" si="13"/>
        <v>442</v>
      </c>
      <c r="BO8" s="8">
        <f t="shared" si="14"/>
        <v>122</v>
      </c>
      <c r="BP8" s="8" t="str">
        <f t="shared" si="15"/>
        <v/>
      </c>
      <c r="BQ8" s="8" t="str">
        <f t="shared" si="16"/>
        <v/>
      </c>
      <c r="BR8" s="8" t="str">
        <f t="shared" si="17"/>
        <v/>
      </c>
      <c r="BS8" s="8" t="str">
        <f t="shared" si="18"/>
        <v/>
      </c>
      <c r="BT8" s="8" t="str">
        <f t="shared" si="19"/>
        <v/>
      </c>
      <c r="BU8" s="8" t="str">
        <f t="shared" si="20"/>
        <v/>
      </c>
      <c r="BV8" s="8" t="str">
        <f t="shared" si="21"/>
        <v/>
      </c>
      <c r="BW8" s="8" t="str">
        <f t="shared" si="22"/>
        <v/>
      </c>
      <c r="BX8" s="8" t="str">
        <f t="shared" si="23"/>
        <v/>
      </c>
      <c r="BY8" s="8" t="str">
        <f t="shared" si="24"/>
        <v/>
      </c>
      <c r="BZ8" s="8">
        <f>BC8</f>
        <v>69</v>
      </c>
      <c r="CA8" s="8">
        <f>BD8</f>
        <v>151</v>
      </c>
      <c r="CB8" s="8">
        <f>BF8</f>
        <v>209</v>
      </c>
      <c r="CC8" s="8">
        <f t="shared" ref="CC8:CK9" si="40">BG8</f>
        <v>216</v>
      </c>
      <c r="CD8" s="8">
        <f t="shared" si="40"/>
        <v>307</v>
      </c>
      <c r="CE8" s="8">
        <f t="shared" si="40"/>
        <v>283</v>
      </c>
      <c r="CF8" s="8">
        <f t="shared" si="40"/>
        <v>451</v>
      </c>
      <c r="CG8" s="8">
        <f t="shared" si="40"/>
        <v>452</v>
      </c>
      <c r="CH8" s="8">
        <f t="shared" si="40"/>
        <v>161</v>
      </c>
      <c r="CI8" s="8">
        <f t="shared" si="40"/>
        <v>377</v>
      </c>
      <c r="CJ8" s="8">
        <f t="shared" si="40"/>
        <v>442</v>
      </c>
      <c r="CK8" s="8">
        <f t="shared" si="40"/>
        <v>122</v>
      </c>
      <c r="CO8" s="8" t="str">
        <f t="shared" si="36"/>
        <v>Murray</v>
      </c>
      <c r="CP8" s="4">
        <f>BZ8+$DG8</f>
        <v>61.227882755363559</v>
      </c>
      <c r="CQ8" s="4">
        <f t="shared" si="37"/>
        <v>143.22788275536357</v>
      </c>
      <c r="CR8" s="4">
        <f t="shared" si="37"/>
        <v>201.22788275536357</v>
      </c>
      <c r="CS8" s="4">
        <f t="shared" si="37"/>
        <v>208.22788275536357</v>
      </c>
      <c r="CT8" s="4">
        <f t="shared" si="37"/>
        <v>299.22788275536357</v>
      </c>
      <c r="CU8" s="4">
        <f t="shared" si="37"/>
        <v>275.22788275536357</v>
      </c>
      <c r="CV8" s="4">
        <f t="shared" si="37"/>
        <v>443.22788275536357</v>
      </c>
      <c r="CW8" s="4">
        <f t="shared" si="37"/>
        <v>444.22788275536357</v>
      </c>
      <c r="CX8" s="4">
        <f t="shared" si="37"/>
        <v>153.22788275536357</v>
      </c>
      <c r="CY8" s="4">
        <f t="shared" si="37"/>
        <v>369.22788275536357</v>
      </c>
      <c r="CZ8" s="4">
        <f t="shared" si="37"/>
        <v>434.22788275536357</v>
      </c>
      <c r="DA8" s="4">
        <f t="shared" si="37"/>
        <v>114.22788275536357</v>
      </c>
      <c r="DB8" s="4"/>
      <c r="DC8" s="4"/>
      <c r="DD8" s="4"/>
      <c r="DE8" s="8">
        <f>VLOOKUP(B8,[1]Ranking!$C$3:$BM$19, 34, FALSE)</f>
        <v>46</v>
      </c>
      <c r="DF8" s="4">
        <f>VLOOKUP(B8,[1]Ranking!$C$3:$BM$19, 63, FALSE)</f>
        <v>-357.51739325327617</v>
      </c>
      <c r="DG8" s="4">
        <f t="shared" si="38"/>
        <v>-7.7721172446364388</v>
      </c>
    </row>
    <row r="9" spans="1:111" x14ac:dyDescent="0.3">
      <c r="A9" s="8">
        <v>7</v>
      </c>
      <c r="B9" s="8" t="str">
        <f>VLOOKUP(A9,[1]Ranking!$Y$3:$AA$19, 3, FALSE)</f>
        <v>Sampras</v>
      </c>
      <c r="C9" s="8" t="s">
        <v>28</v>
      </c>
      <c r="D9" s="3">
        <f t="shared" ca="1" si="31"/>
        <v>0.15935721332820507</v>
      </c>
      <c r="E9" s="8">
        <f t="shared" ca="1" si="32"/>
        <v>11</v>
      </c>
      <c r="F9" s="8" t="str">
        <f t="shared" si="39"/>
        <v>Sampras</v>
      </c>
      <c r="G9" s="8">
        <f>VLOOKUP($C9,[1]Data!$C$3:$Z$86,G$1, FALSE)</f>
        <v>0</v>
      </c>
      <c r="H9" s="8">
        <f>VLOOKUP($C9,[1]Data!$C$3:$Z$86,H$1, FALSE)</f>
        <v>-99</v>
      </c>
      <c r="I9" s="8">
        <f>VLOOKUP($C9,[1]Data!$C$3:$Z$86,I$1, FALSE)</f>
        <v>-41</v>
      </c>
      <c r="J9" s="8">
        <f>VLOOKUP($C9,[1]Data!$C$3:$Z$86,J$1, FALSE)</f>
        <v>-23</v>
      </c>
      <c r="K9" s="8">
        <f>VLOOKUP($C9,[1]Data!$C$3:$Z$86,K$1, FALSE)</f>
        <v>291</v>
      </c>
      <c r="L9" s="8">
        <f>VLOOKUP($C9,[1]Data!$C$3:$Z$86,L$1, FALSE)</f>
        <v>380</v>
      </c>
      <c r="M9" s="8">
        <f>VLOOKUP($C9,[1]Data!$C$3:$Z$86,M$1, FALSE)</f>
        <v>515</v>
      </c>
      <c r="N9" s="8">
        <f>VLOOKUP($C9,[1]Data!$C$3:$Z$86,N$1, FALSE)</f>
        <v>313</v>
      </c>
      <c r="O9" s="8">
        <f>VLOOKUP($C9,[1]Data!$C$3:$Z$86,O$1, FALSE)</f>
        <v>224</v>
      </c>
      <c r="P9" s="8">
        <f>VLOOKUP($C9,[1]Data!$C$3:$Z$86,P$1, FALSE)</f>
        <v>397</v>
      </c>
      <c r="Q9" s="8">
        <f>VLOOKUP($C9,[1]Data!$C$3:$Z$86,Q$1, FALSE)</f>
        <v>464</v>
      </c>
      <c r="R9" s="8">
        <f>VLOOKUP($C9,[1]Data!$C$3:$Z$86,R$1, FALSE)</f>
        <v>373</v>
      </c>
      <c r="S9" s="8">
        <f>VLOOKUP($C9,[1]Data!$C$3:$Z$86,S$1, FALSE)</f>
        <v>279</v>
      </c>
      <c r="T9" s="8">
        <f>VLOOKUP($C9,[1]Data!$C$3:$Z$86,T$1, FALSE)</f>
        <v>31</v>
      </c>
      <c r="U9" s="8">
        <f>VLOOKUP($C9,[1]Data!$C$3:$Z$86,U$1, FALSE)</f>
        <v>-98</v>
      </c>
      <c r="V9" s="8">
        <f>VLOOKUP($C9,[1]Data!$C$3:$Z$86,V$1, FALSE)</f>
        <v>0</v>
      </c>
      <c r="W9" s="8">
        <f>VLOOKUP($C9,[1]Data!$C$3:$Z$86,W$1, FALSE)</f>
        <v>0</v>
      </c>
      <c r="X9" s="8">
        <f>VLOOKUP($C9,[1]Data!$C$3:$Z$86,X$1, FALSE)</f>
        <v>0</v>
      </c>
      <c r="Y9" s="8">
        <f>VLOOKUP($C9,[1]Data!$C$3:$Z$86,Y$1, FALSE)</f>
        <v>0</v>
      </c>
      <c r="Z9" s="8">
        <f>VLOOKUP($C9,[1]Data!$C$3:$Z$86,Z$1, FALSE)</f>
        <v>0</v>
      </c>
      <c r="AA9" s="8">
        <f>VLOOKUP($C9,[1]Data!$C$3:$Z$86,AA$1, FALSE)</f>
        <v>0</v>
      </c>
      <c r="AB9" s="8">
        <f>VLOOKUP($C9,[1]Data!$C$3:$Z$86,AB$1, FALSE)</f>
        <v>0</v>
      </c>
      <c r="AC9" s="8">
        <f>VLOOKUP($C9,[1]Data!$C$3:$Z$86,AC$1, FALSE)</f>
        <v>0</v>
      </c>
      <c r="AE9" s="8">
        <f t="shared" si="33"/>
        <v>11</v>
      </c>
      <c r="AF9" s="8">
        <f t="shared" si="33"/>
        <v>23</v>
      </c>
      <c r="AG9" s="8">
        <f t="shared" si="33"/>
        <v>21</v>
      </c>
      <c r="AH9" s="8">
        <f t="shared" si="33"/>
        <v>20</v>
      </c>
      <c r="AI9" s="8">
        <f t="shared" si="33"/>
        <v>7</v>
      </c>
      <c r="AJ9" s="8">
        <f t="shared" si="33"/>
        <v>4</v>
      </c>
      <c r="AK9" s="8">
        <f t="shared" si="33"/>
        <v>1</v>
      </c>
      <c r="AL9" s="8">
        <f t="shared" si="33"/>
        <v>6</v>
      </c>
      <c r="AM9" s="8">
        <f t="shared" si="33"/>
        <v>9</v>
      </c>
      <c r="AN9" s="8">
        <f t="shared" si="33"/>
        <v>3</v>
      </c>
      <c r="AO9" s="8">
        <f t="shared" si="33"/>
        <v>2</v>
      </c>
      <c r="AP9" s="8">
        <f t="shared" si="33"/>
        <v>5</v>
      </c>
      <c r="AQ9" s="8">
        <f t="shared" si="33"/>
        <v>8</v>
      </c>
      <c r="AR9" s="8">
        <f t="shared" si="33"/>
        <v>10</v>
      </c>
      <c r="AS9" s="8">
        <f t="shared" si="33"/>
        <v>22</v>
      </c>
      <c r="AT9" s="8">
        <f t="shared" si="33"/>
        <v>11</v>
      </c>
      <c r="AU9" s="8">
        <f t="shared" si="34"/>
        <v>11</v>
      </c>
      <c r="AV9" s="8">
        <f t="shared" si="34"/>
        <v>11</v>
      </c>
      <c r="AW9" s="8">
        <f t="shared" si="34"/>
        <v>11</v>
      </c>
      <c r="AX9" s="8">
        <f t="shared" si="34"/>
        <v>11</v>
      </c>
      <c r="AY9" s="8">
        <f t="shared" si="34"/>
        <v>11</v>
      </c>
      <c r="AZ9" s="8">
        <f t="shared" si="34"/>
        <v>11</v>
      </c>
      <c r="BA9" s="8">
        <f t="shared" si="34"/>
        <v>11</v>
      </c>
      <c r="BC9" s="8" t="str">
        <f t="shared" si="2"/>
        <v/>
      </c>
      <c r="BD9" s="8">
        <f>H9</f>
        <v>-99</v>
      </c>
      <c r="BE9" s="8">
        <f>I9</f>
        <v>-41</v>
      </c>
      <c r="BF9" s="8">
        <f>J9</f>
        <v>-23</v>
      </c>
      <c r="BG9" s="8">
        <f t="shared" si="6"/>
        <v>291</v>
      </c>
      <c r="BH9" s="8">
        <f t="shared" si="7"/>
        <v>380</v>
      </c>
      <c r="BI9" s="8">
        <f t="shared" si="8"/>
        <v>515</v>
      </c>
      <c r="BJ9" s="8">
        <f t="shared" si="9"/>
        <v>313</v>
      </c>
      <c r="BK9" s="8">
        <f t="shared" si="10"/>
        <v>224</v>
      </c>
      <c r="BL9" s="8">
        <f t="shared" si="11"/>
        <v>397</v>
      </c>
      <c r="BM9" s="8">
        <f t="shared" si="12"/>
        <v>464</v>
      </c>
      <c r="BN9" s="8">
        <f t="shared" si="13"/>
        <v>373</v>
      </c>
      <c r="BO9" s="8">
        <f t="shared" si="14"/>
        <v>279</v>
      </c>
      <c r="BP9" s="8">
        <f t="shared" si="15"/>
        <v>31</v>
      </c>
      <c r="BQ9" s="8">
        <f>U9</f>
        <v>-98</v>
      </c>
      <c r="BR9" s="8" t="str">
        <f t="shared" si="17"/>
        <v/>
      </c>
      <c r="BS9" s="8" t="str">
        <f t="shared" si="18"/>
        <v/>
      </c>
      <c r="BT9" s="8" t="str">
        <f t="shared" si="19"/>
        <v/>
      </c>
      <c r="BU9" s="8" t="str">
        <f t="shared" si="20"/>
        <v/>
      </c>
      <c r="BV9" s="8" t="str">
        <f t="shared" si="21"/>
        <v/>
      </c>
      <c r="BW9" s="8" t="str">
        <f t="shared" si="22"/>
        <v/>
      </c>
      <c r="BX9" s="8" t="str">
        <f t="shared" si="23"/>
        <v/>
      </c>
      <c r="BY9" s="8" t="str">
        <f t="shared" si="24"/>
        <v/>
      </c>
      <c r="BZ9" s="8">
        <f>BD9</f>
        <v>-99</v>
      </c>
      <c r="CA9" s="8">
        <f t="shared" ref="CA9:CB9" si="41">BE9</f>
        <v>-41</v>
      </c>
      <c r="CB9" s="8">
        <f t="shared" si="41"/>
        <v>-23</v>
      </c>
      <c r="CC9" s="8">
        <f t="shared" si="40"/>
        <v>291</v>
      </c>
      <c r="CD9" s="8">
        <f t="shared" si="40"/>
        <v>380</v>
      </c>
      <c r="CE9" s="8">
        <f t="shared" si="40"/>
        <v>515</v>
      </c>
      <c r="CF9" s="8">
        <f t="shared" si="40"/>
        <v>313</v>
      </c>
      <c r="CG9" s="8">
        <f t="shared" si="40"/>
        <v>224</v>
      </c>
      <c r="CH9" s="8">
        <f t="shared" si="40"/>
        <v>397</v>
      </c>
      <c r="CI9" s="8">
        <f t="shared" si="40"/>
        <v>464</v>
      </c>
      <c r="CJ9" s="8">
        <f t="shared" si="40"/>
        <v>373</v>
      </c>
      <c r="CK9" s="8">
        <f t="shared" si="40"/>
        <v>279</v>
      </c>
      <c r="CL9" s="8">
        <f t="shared" ref="CL9:CM9" si="42">BP9</f>
        <v>31</v>
      </c>
      <c r="CM9" s="8">
        <f t="shared" si="42"/>
        <v>-98</v>
      </c>
      <c r="CO9" s="8" t="str">
        <f t="shared" si="36"/>
        <v>Sampras</v>
      </c>
      <c r="CP9" s="4">
        <f t="shared" ref="CP9:CP18" si="43">BZ9+$DG9</f>
        <v>-90.022513058753461</v>
      </c>
      <c r="CQ9" s="4">
        <f t="shared" si="37"/>
        <v>-32.022513058753461</v>
      </c>
      <c r="CR9" s="4">
        <f t="shared" si="37"/>
        <v>-14.022513058753457</v>
      </c>
      <c r="CS9" s="4">
        <f t="shared" si="37"/>
        <v>299.97748694124653</v>
      </c>
      <c r="CT9" s="4">
        <f t="shared" si="37"/>
        <v>388.97748694124653</v>
      </c>
      <c r="CU9" s="4">
        <f t="shared" si="37"/>
        <v>523.97748694124653</v>
      </c>
      <c r="CV9" s="4">
        <f t="shared" si="37"/>
        <v>321.97748694124653</v>
      </c>
      <c r="CW9" s="4">
        <f t="shared" si="37"/>
        <v>232.97748694124655</v>
      </c>
      <c r="CX9" s="4">
        <f t="shared" si="37"/>
        <v>405.97748694124653</v>
      </c>
      <c r="CY9" s="4">
        <f t="shared" si="37"/>
        <v>472.97748694124653</v>
      </c>
      <c r="CZ9" s="4">
        <f t="shared" ref="CZ9:DC10" si="44">CJ9+$DG9</f>
        <v>381.97748694124653</v>
      </c>
      <c r="DA9" s="4">
        <f t="shared" si="44"/>
        <v>287.97748694124653</v>
      </c>
      <c r="DB9" s="4">
        <f t="shared" si="44"/>
        <v>39.977486941246539</v>
      </c>
      <c r="DC9" s="4">
        <f t="shared" si="44"/>
        <v>-89.022513058753461</v>
      </c>
      <c r="DD9" s="4"/>
      <c r="DE9" s="8">
        <f>VLOOKUP(B9,[1]Ranking!$C$3:$BM$19, 34, FALSE)</f>
        <v>52</v>
      </c>
      <c r="DF9" s="4">
        <f>VLOOKUP(B9,[1]Ranking!$C$3:$BM$19, 63, FALSE)</f>
        <v>466.82932094482021</v>
      </c>
      <c r="DG9" s="4">
        <f t="shared" si="38"/>
        <v>8.9774869412465428</v>
      </c>
    </row>
    <row r="10" spans="1:111" x14ac:dyDescent="0.3">
      <c r="A10" s="8">
        <v>8</v>
      </c>
      <c r="B10" s="8" t="str">
        <f>VLOOKUP(A10,[1]Ranking!$Y$3:$AA$19, 3, FALSE)</f>
        <v>McEnroe</v>
      </c>
      <c r="C10" s="8" t="s">
        <v>29</v>
      </c>
      <c r="D10" s="3">
        <f t="shared" ca="1" si="31"/>
        <v>0.54501774729663055</v>
      </c>
      <c r="E10" s="8">
        <f t="shared" ca="1" si="32"/>
        <v>5</v>
      </c>
      <c r="F10" s="8" t="str">
        <f t="shared" si="39"/>
        <v>McEnroe</v>
      </c>
      <c r="G10" s="8">
        <f>VLOOKUP($C10,[1]Data!$C$3:$Z$86,G$1, FALSE)</f>
        <v>252</v>
      </c>
      <c r="H10" s="8">
        <f>VLOOKUP($C10,[1]Data!$C$3:$Z$86,H$1, FALSE)</f>
        <v>-99</v>
      </c>
      <c r="I10" s="8">
        <f>VLOOKUP($C10,[1]Data!$C$3:$Z$86,I$1, FALSE)</f>
        <v>131</v>
      </c>
      <c r="J10" s="8">
        <f>VLOOKUP($C10,[1]Data!$C$3:$Z$86,J$1, FALSE)</f>
        <v>276</v>
      </c>
      <c r="K10" s="8">
        <f>VLOOKUP($C10,[1]Data!$C$3:$Z$86,K$1, FALSE)</f>
        <v>540</v>
      </c>
      <c r="L10" s="8">
        <f>VLOOKUP($C10,[1]Data!$C$3:$Z$86,L$1, FALSE)</f>
        <v>350</v>
      </c>
      <c r="M10" s="8">
        <f>VLOOKUP($C10,[1]Data!$C$3:$Z$86,M$1, FALSE)</f>
        <v>359</v>
      </c>
      <c r="N10" s="8">
        <f>VLOOKUP($C10,[1]Data!$C$3:$Z$86,N$1, FALSE)</f>
        <v>454</v>
      </c>
      <c r="O10" s="8">
        <f>VLOOKUP($C10,[1]Data!$C$3:$Z$86,O$1, FALSE)</f>
        <v>6</v>
      </c>
      <c r="P10" s="8">
        <f>VLOOKUP($C10,[1]Data!$C$3:$Z$86,P$1, FALSE)</f>
        <v>0</v>
      </c>
      <c r="Q10" s="8">
        <f>VLOOKUP($C10,[1]Data!$C$3:$Z$86,Q$1, FALSE)</f>
        <v>0</v>
      </c>
      <c r="R10" s="8">
        <f>VLOOKUP($C10,[1]Data!$C$3:$Z$86,R$1, FALSE)</f>
        <v>-37</v>
      </c>
      <c r="S10" s="8">
        <f>VLOOKUP($C10,[1]Data!$C$3:$Z$86,S$1, FALSE)</f>
        <v>271</v>
      </c>
      <c r="T10" s="8">
        <f>VLOOKUP($C10,[1]Data!$C$3:$Z$86,T$1, FALSE)</f>
        <v>-99</v>
      </c>
      <c r="U10" s="8">
        <f>VLOOKUP($C10,[1]Data!$C$3:$Z$86,U$1, FALSE)</f>
        <v>37</v>
      </c>
      <c r="V10" s="8">
        <f>VLOOKUP($C10,[1]Data!$C$3:$Z$86,V$1, FALSE)</f>
        <v>209</v>
      </c>
      <c r="W10" s="8">
        <f>VLOOKUP($C10,[1]Data!$C$3:$Z$86,W$1, FALSE)</f>
        <v>0</v>
      </c>
      <c r="X10" s="8">
        <f>VLOOKUP($C10,[1]Data!$C$3:$Z$86,X$1, FALSE)</f>
        <v>0</v>
      </c>
      <c r="Y10" s="8">
        <f>VLOOKUP($C10,[1]Data!$C$3:$Z$86,Y$1, FALSE)</f>
        <v>0</v>
      </c>
      <c r="Z10" s="8">
        <f>VLOOKUP($C10,[1]Data!$C$3:$Z$86,Z$1, FALSE)</f>
        <v>0</v>
      </c>
      <c r="AA10" s="8">
        <f>VLOOKUP($C10,[1]Data!$C$3:$Z$86,AA$1, FALSE)</f>
        <v>0</v>
      </c>
      <c r="AB10" s="8">
        <f>VLOOKUP($C10,[1]Data!$C$3:$Z$86,AB$1, FALSE)</f>
        <v>0</v>
      </c>
      <c r="AC10" s="8">
        <f>VLOOKUP($C10,[1]Data!$C$3:$Z$86,AC$1, FALSE)</f>
        <v>0</v>
      </c>
      <c r="AE10" s="8">
        <f t="shared" si="33"/>
        <v>7</v>
      </c>
      <c r="AF10" s="8">
        <f t="shared" si="33"/>
        <v>22</v>
      </c>
      <c r="AG10" s="8">
        <f t="shared" si="33"/>
        <v>9</v>
      </c>
      <c r="AH10" s="8">
        <f t="shared" si="33"/>
        <v>5</v>
      </c>
      <c r="AI10" s="8">
        <f t="shared" si="33"/>
        <v>1</v>
      </c>
      <c r="AJ10" s="8">
        <f t="shared" si="33"/>
        <v>4</v>
      </c>
      <c r="AK10" s="8">
        <f t="shared" si="33"/>
        <v>3</v>
      </c>
      <c r="AL10" s="8">
        <f t="shared" si="33"/>
        <v>2</v>
      </c>
      <c r="AM10" s="8">
        <f t="shared" si="33"/>
        <v>11</v>
      </c>
      <c r="AN10" s="8">
        <f t="shared" si="33"/>
        <v>12</v>
      </c>
      <c r="AO10" s="8">
        <f t="shared" si="33"/>
        <v>12</v>
      </c>
      <c r="AP10" s="8">
        <f t="shared" si="33"/>
        <v>21</v>
      </c>
      <c r="AQ10" s="8">
        <f t="shared" si="33"/>
        <v>6</v>
      </c>
      <c r="AR10" s="8">
        <f t="shared" si="33"/>
        <v>22</v>
      </c>
      <c r="AS10" s="8">
        <f t="shared" si="33"/>
        <v>10</v>
      </c>
      <c r="AT10" s="8">
        <f t="shared" si="33"/>
        <v>8</v>
      </c>
      <c r="AU10" s="8">
        <f t="shared" si="34"/>
        <v>12</v>
      </c>
      <c r="AV10" s="8">
        <f t="shared" si="34"/>
        <v>12</v>
      </c>
      <c r="AW10" s="8">
        <f t="shared" si="34"/>
        <v>12</v>
      </c>
      <c r="AX10" s="8">
        <f t="shared" si="34"/>
        <v>12</v>
      </c>
      <c r="AY10" s="8">
        <f t="shared" si="34"/>
        <v>12</v>
      </c>
      <c r="AZ10" s="8">
        <f t="shared" si="34"/>
        <v>12</v>
      </c>
      <c r="BA10" s="8">
        <f t="shared" si="34"/>
        <v>12</v>
      </c>
      <c r="BC10" s="8">
        <f t="shared" si="2"/>
        <v>252</v>
      </c>
      <c r="BD10" s="8">
        <f>H10</f>
        <v>-99</v>
      </c>
      <c r="BE10" s="8">
        <f t="shared" si="27"/>
        <v>131</v>
      </c>
      <c r="BF10" s="8">
        <f t="shared" si="5"/>
        <v>276</v>
      </c>
      <c r="BG10" s="8">
        <f t="shared" si="6"/>
        <v>540</v>
      </c>
      <c r="BH10" s="8">
        <f t="shared" si="7"/>
        <v>350</v>
      </c>
      <c r="BI10" s="8">
        <f t="shared" si="8"/>
        <v>359</v>
      </c>
      <c r="BJ10" s="8">
        <f t="shared" si="9"/>
        <v>454</v>
      </c>
      <c r="BK10" s="8">
        <f t="shared" si="10"/>
        <v>6</v>
      </c>
      <c r="BL10" s="8" t="str">
        <f t="shared" si="11"/>
        <v/>
      </c>
      <c r="BM10" s="8" t="str">
        <f t="shared" si="12"/>
        <v/>
      </c>
      <c r="BN10" s="8">
        <f>R10</f>
        <v>-37</v>
      </c>
      <c r="BO10" s="8">
        <f t="shared" si="14"/>
        <v>271</v>
      </c>
      <c r="BP10" s="8">
        <f>T10</f>
        <v>-99</v>
      </c>
      <c r="BQ10" s="8">
        <f t="shared" si="16"/>
        <v>37</v>
      </c>
      <c r="BR10" s="8">
        <f t="shared" si="17"/>
        <v>209</v>
      </c>
      <c r="BS10" s="8" t="str">
        <f t="shared" si="18"/>
        <v/>
      </c>
      <c r="BT10" s="8" t="str">
        <f t="shared" si="19"/>
        <v/>
      </c>
      <c r="BU10" s="8" t="str">
        <f t="shared" si="20"/>
        <v/>
      </c>
      <c r="BV10" s="8" t="str">
        <f t="shared" si="21"/>
        <v/>
      </c>
      <c r="BW10" s="8" t="str">
        <f t="shared" si="22"/>
        <v/>
      </c>
      <c r="BX10" s="8" t="str">
        <f t="shared" si="23"/>
        <v/>
      </c>
      <c r="BY10" s="8" t="str">
        <f t="shared" si="24"/>
        <v/>
      </c>
      <c r="BZ10" s="8">
        <f>BC10</f>
        <v>252</v>
      </c>
      <c r="CA10" s="8">
        <f t="shared" ref="CA10:CH10" si="45">BD10</f>
        <v>-99</v>
      </c>
      <c r="CB10" s="8">
        <f t="shared" si="45"/>
        <v>131</v>
      </c>
      <c r="CC10" s="8">
        <f t="shared" si="45"/>
        <v>276</v>
      </c>
      <c r="CD10" s="8">
        <f t="shared" si="45"/>
        <v>540</v>
      </c>
      <c r="CE10" s="8">
        <f t="shared" si="45"/>
        <v>350</v>
      </c>
      <c r="CF10" s="8">
        <f t="shared" si="45"/>
        <v>359</v>
      </c>
      <c r="CG10" s="8">
        <f t="shared" si="45"/>
        <v>454</v>
      </c>
      <c r="CH10" s="8">
        <f t="shared" si="45"/>
        <v>6</v>
      </c>
      <c r="CI10" s="8">
        <f>BN10</f>
        <v>-37</v>
      </c>
      <c r="CJ10" s="8">
        <f t="shared" ref="CJ10:CM11" si="46">BO10</f>
        <v>271</v>
      </c>
      <c r="CK10" s="8">
        <f t="shared" si="46"/>
        <v>-99</v>
      </c>
      <c r="CL10" s="8">
        <f t="shared" si="46"/>
        <v>37</v>
      </c>
      <c r="CM10" s="8">
        <f t="shared" si="46"/>
        <v>209</v>
      </c>
      <c r="CO10" s="8" t="str">
        <f t="shared" si="36"/>
        <v>McEnroe</v>
      </c>
      <c r="CP10" s="4">
        <f t="shared" si="43"/>
        <v>263.16221792201389</v>
      </c>
      <c r="CQ10" s="4">
        <f t="shared" si="37"/>
        <v>-87.837782077986105</v>
      </c>
      <c r="CR10" s="4">
        <f t="shared" si="37"/>
        <v>142.16221792201389</v>
      </c>
      <c r="CS10" s="4">
        <f t="shared" si="37"/>
        <v>287.16221792201389</v>
      </c>
      <c r="CT10" s="4">
        <f t="shared" si="37"/>
        <v>551.16221792201384</v>
      </c>
      <c r="CU10" s="4">
        <f>CE10+$DG10</f>
        <v>361.16221792201389</v>
      </c>
      <c r="CV10" s="4">
        <f>CE10+$DG10</f>
        <v>361.16221792201389</v>
      </c>
      <c r="CW10" s="4">
        <f t="shared" si="37"/>
        <v>465.16221792201389</v>
      </c>
      <c r="CX10" s="4">
        <f t="shared" si="37"/>
        <v>17.162217922013891</v>
      </c>
      <c r="CY10" s="4">
        <f t="shared" si="37"/>
        <v>-25.837782077986109</v>
      </c>
      <c r="CZ10" s="4">
        <f t="shared" si="44"/>
        <v>282.16221792201389</v>
      </c>
      <c r="DA10" s="4">
        <f t="shared" si="44"/>
        <v>-87.837782077986105</v>
      </c>
      <c r="DB10" s="4">
        <f t="shared" si="44"/>
        <v>48.162217922013895</v>
      </c>
      <c r="DC10" s="4">
        <f t="shared" si="44"/>
        <v>220.16221792201389</v>
      </c>
      <c r="DD10" s="4"/>
      <c r="DE10" s="8">
        <f>VLOOKUP(B10,[1]Ranking!$C$3:$BM$19, 34, FALSE)</f>
        <v>45</v>
      </c>
      <c r="DF10" s="4">
        <f>VLOOKUP(B10,[1]Ranking!$C$3:$BM$19, 63, FALSE)</f>
        <v>502.29980649062509</v>
      </c>
      <c r="DG10" s="4">
        <f t="shared" si="38"/>
        <v>11.162217922013891</v>
      </c>
    </row>
    <row r="11" spans="1:111" x14ac:dyDescent="0.3">
      <c r="A11" s="8">
        <v>9</v>
      </c>
      <c r="B11" s="8" t="str">
        <f>VLOOKUP(A11,[1]Ranking!$Y$3:$AA$19, 3, FALSE)</f>
        <v>Nadal</v>
      </c>
      <c r="C11" s="8" t="s">
        <v>30</v>
      </c>
      <c r="D11" s="3">
        <f t="shared" ca="1" si="31"/>
        <v>0.70442790431244573</v>
      </c>
      <c r="E11" s="8">
        <f t="shared" ca="1" si="32"/>
        <v>2</v>
      </c>
      <c r="F11" s="8" t="str">
        <f t="shared" si="39"/>
        <v>Nadal</v>
      </c>
      <c r="G11" s="8">
        <f>VLOOKUP($C11,[1]Data!$C$3:$Z$86,G$1, FALSE)</f>
        <v>15</v>
      </c>
      <c r="H11" s="8">
        <f>VLOOKUP($C11,[1]Data!$C$3:$Z$86,H$1, FALSE)</f>
        <v>0</v>
      </c>
      <c r="I11" s="8">
        <f>VLOOKUP($C11,[1]Data!$C$3:$Z$86,I$1, FALSE)</f>
        <v>-8</v>
      </c>
      <c r="J11" s="8">
        <f>VLOOKUP($C11,[1]Data!$C$3:$Z$86,J$1, FALSE)</f>
        <v>267</v>
      </c>
      <c r="K11" s="8">
        <f>VLOOKUP($C11,[1]Data!$C$3:$Z$86,K$1, FALSE)</f>
        <v>466</v>
      </c>
      <c r="L11" s="8">
        <f>VLOOKUP($C11,[1]Data!$C$3:$Z$86,L$1, FALSE)</f>
        <v>452</v>
      </c>
      <c r="M11" s="8">
        <f>VLOOKUP($C11,[1]Data!$C$3:$Z$86,M$1, FALSE)</f>
        <v>0</v>
      </c>
      <c r="N11" s="8">
        <f>VLOOKUP($C11,[1]Data!$C$3:$Z$86,N$1, FALSE)</f>
        <v>431</v>
      </c>
      <c r="O11" s="8">
        <f>VLOOKUP($C11,[1]Data!$C$3:$Z$86,O$1, FALSE)</f>
        <v>332</v>
      </c>
      <c r="P11" s="8">
        <f>VLOOKUP($C11,[1]Data!$C$3:$Z$86,P$1, FALSE)</f>
        <v>-79</v>
      </c>
      <c r="Q11" s="8">
        <f>VLOOKUP($C11,[1]Data!$C$3:$Z$86,Q$1, FALSE)</f>
        <v>-99</v>
      </c>
      <c r="R11" s="8">
        <f>VLOOKUP($C11,[1]Data!$C$3:$Z$86,R$1, FALSE)</f>
        <v>35</v>
      </c>
      <c r="S11" s="8">
        <f>VLOOKUP($C11,[1]Data!$C$3:$Z$86,S$1, FALSE)</f>
        <v>-41</v>
      </c>
      <c r="T11" s="8">
        <f>VLOOKUP($C11,[1]Data!$C$3:$Z$86,T$1, FALSE)</f>
        <v>0</v>
      </c>
      <c r="U11" s="8">
        <f>VLOOKUP($C11,[1]Data!$C$3:$Z$86,U$1, FALSE)</f>
        <v>112</v>
      </c>
      <c r="V11" s="8">
        <f>VLOOKUP($C11,[1]Data!$C$3:$Z$86,V$1, FALSE)</f>
        <v>154</v>
      </c>
      <c r="W11" s="8">
        <f>VLOOKUP($C11,[1]Data!$C$3:$Z$86,W$1, FALSE)</f>
        <v>0</v>
      </c>
      <c r="X11" s="8">
        <f>VLOOKUP($C11,[1]Data!$C$3:$Z$86,X$1, FALSE)</f>
        <v>0</v>
      </c>
      <c r="Y11" s="8">
        <f>VLOOKUP($C11,[1]Data!$C$3:$Z$86,Y$1, FALSE)</f>
        <v>0</v>
      </c>
      <c r="Z11" s="8">
        <f>VLOOKUP($C11,[1]Data!$C$3:$Z$86,Z$1, FALSE)</f>
        <v>0</v>
      </c>
      <c r="AA11" s="8">
        <f>VLOOKUP($C11,[1]Data!$C$3:$Z$86,AA$1, FALSE)</f>
        <v>0</v>
      </c>
      <c r="AB11" s="8">
        <f>VLOOKUP($C11,[1]Data!$C$3:$Z$86,AB$1, FALSE)</f>
        <v>0</v>
      </c>
      <c r="AC11" s="8">
        <f>VLOOKUP($C11,[1]Data!$C$3:$Z$86,AC$1, FALSE)</f>
        <v>0</v>
      </c>
      <c r="AE11" s="8">
        <f t="shared" si="33"/>
        <v>9</v>
      </c>
      <c r="AF11" s="8">
        <f t="shared" si="33"/>
        <v>10</v>
      </c>
      <c r="AG11" s="8">
        <f t="shared" si="33"/>
        <v>20</v>
      </c>
      <c r="AH11" s="8">
        <f t="shared" si="33"/>
        <v>5</v>
      </c>
      <c r="AI11" s="8">
        <f t="shared" si="33"/>
        <v>1</v>
      </c>
      <c r="AJ11" s="8">
        <f t="shared" si="33"/>
        <v>2</v>
      </c>
      <c r="AK11" s="8">
        <f t="shared" si="33"/>
        <v>10</v>
      </c>
      <c r="AL11" s="8">
        <f t="shared" si="33"/>
        <v>3</v>
      </c>
      <c r="AM11" s="8">
        <f t="shared" si="33"/>
        <v>4</v>
      </c>
      <c r="AN11" s="8">
        <f t="shared" si="33"/>
        <v>22</v>
      </c>
      <c r="AO11" s="8">
        <f t="shared" si="33"/>
        <v>23</v>
      </c>
      <c r="AP11" s="8">
        <f t="shared" si="33"/>
        <v>8</v>
      </c>
      <c r="AQ11" s="8">
        <f t="shared" si="33"/>
        <v>21</v>
      </c>
      <c r="AR11" s="8">
        <f t="shared" si="33"/>
        <v>10</v>
      </c>
      <c r="AS11" s="8">
        <f t="shared" si="33"/>
        <v>7</v>
      </c>
      <c r="AT11" s="8">
        <f t="shared" si="33"/>
        <v>6</v>
      </c>
      <c r="AU11" s="8">
        <f t="shared" si="34"/>
        <v>10</v>
      </c>
      <c r="AV11" s="8">
        <f t="shared" si="34"/>
        <v>10</v>
      </c>
      <c r="AW11" s="8">
        <f t="shared" si="34"/>
        <v>10</v>
      </c>
      <c r="AX11" s="8">
        <f t="shared" si="34"/>
        <v>10</v>
      </c>
      <c r="AY11" s="8">
        <f t="shared" si="34"/>
        <v>10</v>
      </c>
      <c r="AZ11" s="8">
        <f t="shared" si="34"/>
        <v>10</v>
      </c>
      <c r="BA11" s="8">
        <f t="shared" si="34"/>
        <v>10</v>
      </c>
      <c r="BC11" s="8">
        <f t="shared" si="2"/>
        <v>15</v>
      </c>
      <c r="BD11" s="8" t="str">
        <f t="shared" si="3"/>
        <v/>
      </c>
      <c r="BE11" s="8">
        <f>I11</f>
        <v>-8</v>
      </c>
      <c r="BF11" s="8">
        <f t="shared" si="5"/>
        <v>267</v>
      </c>
      <c r="BG11" s="8">
        <f t="shared" si="6"/>
        <v>466</v>
      </c>
      <c r="BH11" s="8">
        <f t="shared" si="7"/>
        <v>452</v>
      </c>
      <c r="BI11" s="8" t="str">
        <f t="shared" si="8"/>
        <v/>
      </c>
      <c r="BJ11" s="8">
        <f t="shared" si="9"/>
        <v>431</v>
      </c>
      <c r="BK11" s="8">
        <f t="shared" si="10"/>
        <v>332</v>
      </c>
      <c r="BL11" s="8">
        <f>P11</f>
        <v>-79</v>
      </c>
      <c r="BM11" s="8">
        <f>Q11</f>
        <v>-99</v>
      </c>
      <c r="BN11" s="8">
        <f t="shared" si="13"/>
        <v>35</v>
      </c>
      <c r="BO11" s="8">
        <f>S11</f>
        <v>-41</v>
      </c>
      <c r="BP11" s="8" t="str">
        <f t="shared" si="15"/>
        <v/>
      </c>
      <c r="BQ11" s="8">
        <f t="shared" si="16"/>
        <v>112</v>
      </c>
      <c r="BR11" s="8">
        <f t="shared" si="17"/>
        <v>154</v>
      </c>
      <c r="BS11" s="8" t="str">
        <f t="shared" si="18"/>
        <v/>
      </c>
      <c r="BT11" s="8" t="str">
        <f t="shared" si="19"/>
        <v/>
      </c>
      <c r="BU11" s="8" t="str">
        <f t="shared" si="20"/>
        <v/>
      </c>
      <c r="BV11" s="8" t="str">
        <f t="shared" si="21"/>
        <v/>
      </c>
      <c r="BW11" s="8" t="str">
        <f t="shared" si="22"/>
        <v/>
      </c>
      <c r="BX11" s="8" t="str">
        <f t="shared" si="23"/>
        <v/>
      </c>
      <c r="BY11" s="8" t="str">
        <f t="shared" si="24"/>
        <v/>
      </c>
      <c r="BZ11" s="8">
        <f>BC11</f>
        <v>15</v>
      </c>
      <c r="CA11" s="8">
        <f>BE11</f>
        <v>-8</v>
      </c>
      <c r="CB11" s="8">
        <f t="shared" ref="CB11:CD11" si="47">BF11</f>
        <v>267</v>
      </c>
      <c r="CC11" s="8">
        <f t="shared" si="47"/>
        <v>466</v>
      </c>
      <c r="CD11" s="8">
        <f t="shared" si="47"/>
        <v>452</v>
      </c>
      <c r="CE11" s="8">
        <f>BJ11</f>
        <v>431</v>
      </c>
      <c r="CF11" s="8">
        <f t="shared" ref="CF11:CI11" si="48">BK11</f>
        <v>332</v>
      </c>
      <c r="CG11" s="8">
        <f t="shared" si="48"/>
        <v>-79</v>
      </c>
      <c r="CH11" s="8">
        <f t="shared" si="48"/>
        <v>-99</v>
      </c>
      <c r="CI11" s="8">
        <f t="shared" si="48"/>
        <v>35</v>
      </c>
      <c r="CJ11" s="8">
        <f t="shared" si="46"/>
        <v>-41</v>
      </c>
      <c r="CK11" s="8">
        <f>BQ11</f>
        <v>112</v>
      </c>
      <c r="CL11" s="8">
        <f>BR11</f>
        <v>154</v>
      </c>
      <c r="CO11" s="8" t="str">
        <f t="shared" si="36"/>
        <v>Nadal</v>
      </c>
      <c r="CP11" s="4">
        <f t="shared" si="43"/>
        <v>7.2278827553635772</v>
      </c>
      <c r="CQ11" s="4">
        <f>CA11+$DG11</f>
        <v>-15.772117244636423</v>
      </c>
      <c r="CR11" s="4">
        <f>CA11+$DG11</f>
        <v>-15.772117244636423</v>
      </c>
      <c r="CS11" s="4">
        <f t="shared" si="37"/>
        <v>458.22788275536357</v>
      </c>
      <c r="CT11" s="4">
        <f t="shared" si="37"/>
        <v>444.22788275536357</v>
      </c>
      <c r="CU11" s="4">
        <f t="shared" si="37"/>
        <v>423.22788275536357</v>
      </c>
      <c r="CV11" s="4">
        <f t="shared" si="37"/>
        <v>324.22788275536357</v>
      </c>
      <c r="CW11" s="4">
        <f t="shared" si="37"/>
        <v>-86.772117244636419</v>
      </c>
      <c r="CX11" s="4">
        <f t="shared" si="37"/>
        <v>-106.77211724463642</v>
      </c>
      <c r="CY11" s="4">
        <f t="shared" si="37"/>
        <v>27.227882755363577</v>
      </c>
      <c r="CZ11" s="4">
        <f>CJ11+$DG11</f>
        <v>-48.772117244636419</v>
      </c>
      <c r="DA11" s="4">
        <f t="shared" ref="DA11:DB13" si="49">CK11+$DG11</f>
        <v>104.22788275536358</v>
      </c>
      <c r="DB11" s="4">
        <f t="shared" si="49"/>
        <v>146.22788275536357</v>
      </c>
      <c r="DC11" s="4"/>
      <c r="DD11" s="4"/>
      <c r="DE11" s="8">
        <f>VLOOKUP(B11,[1]Ranking!$C$3:$BM$19, 34, FALSE)</f>
        <v>53</v>
      </c>
      <c r="DF11" s="4">
        <f>VLOOKUP(B11,[1]Ranking!$C$3:$BM$19, 63, FALSE)</f>
        <v>-411.92221396573041</v>
      </c>
      <c r="DG11" s="4">
        <f t="shared" si="38"/>
        <v>-7.7721172446364228</v>
      </c>
    </row>
    <row r="12" spans="1:111" x14ac:dyDescent="0.3">
      <c r="A12" s="8">
        <v>10</v>
      </c>
      <c r="B12" s="8" t="str">
        <f>VLOOKUP(A12,[1]Ranking!$Y$3:$AA$19, 3, FALSE)</f>
        <v>Agassi</v>
      </c>
      <c r="C12" s="8" t="s">
        <v>31</v>
      </c>
      <c r="D12" s="3">
        <f t="shared" ca="1" si="31"/>
        <v>0.31619967883265176</v>
      </c>
      <c r="E12" s="8">
        <f t="shared" ca="1" si="32"/>
        <v>8</v>
      </c>
      <c r="F12" s="8" t="str">
        <f t="shared" si="39"/>
        <v>Agassi</v>
      </c>
      <c r="G12" s="8">
        <f>VLOOKUP($C12,[1]Data!$C$3:$Z$86,G$1, FALSE)</f>
        <v>0</v>
      </c>
      <c r="H12" s="8">
        <f>VLOOKUP($C12,[1]Data!$C$3:$Z$86,H$1, FALSE)</f>
        <v>-9</v>
      </c>
      <c r="I12" s="8">
        <f>VLOOKUP($C12,[1]Data!$C$3:$Z$86,I$1, FALSE)</f>
        <v>0</v>
      </c>
      <c r="J12" s="8">
        <f>VLOOKUP($C12,[1]Data!$C$3:$Z$86,J$1, FALSE)</f>
        <v>0</v>
      </c>
      <c r="K12" s="8">
        <f>VLOOKUP($C12,[1]Data!$C$3:$Z$86,K$1, FALSE)</f>
        <v>0</v>
      </c>
      <c r="L12" s="8">
        <f>VLOOKUP($C12,[1]Data!$C$3:$Z$86,L$1, FALSE)</f>
        <v>147</v>
      </c>
      <c r="M12" s="8">
        <f>VLOOKUP($C12,[1]Data!$C$3:$Z$86,M$1, FALSE)</f>
        <v>458</v>
      </c>
      <c r="N12" s="8">
        <f>VLOOKUP($C12,[1]Data!$C$3:$Z$86,N$1, FALSE)</f>
        <v>167</v>
      </c>
      <c r="O12" s="8">
        <f>VLOOKUP($C12,[1]Data!$C$3:$Z$86,O$1, FALSE)</f>
        <v>132</v>
      </c>
      <c r="P12" s="8">
        <f>VLOOKUP($C12,[1]Data!$C$3:$Z$86,P$1, FALSE)</f>
        <v>205</v>
      </c>
      <c r="Q12" s="8">
        <f>VLOOKUP($C12,[1]Data!$C$3:$Z$86,Q$1, FALSE)</f>
        <v>-99</v>
      </c>
      <c r="R12" s="8">
        <f>VLOOKUP($C12,[1]Data!$C$3:$Z$86,R$1, FALSE)</f>
        <v>0</v>
      </c>
      <c r="S12" s="8">
        <f>VLOOKUP($C12,[1]Data!$C$3:$Z$86,S$1, FALSE)</f>
        <v>-27</v>
      </c>
      <c r="T12" s="8">
        <f>VLOOKUP($C12,[1]Data!$C$3:$Z$86,T$1, FALSE)</f>
        <v>331</v>
      </c>
      <c r="U12" s="8">
        <f>VLOOKUP($C12,[1]Data!$C$3:$Z$86,U$1, FALSE)</f>
        <v>210</v>
      </c>
      <c r="V12" s="8">
        <f>VLOOKUP($C12,[1]Data!$C$3:$Z$86,V$1, FALSE)</f>
        <v>193</v>
      </c>
      <c r="W12" s="8">
        <f>VLOOKUP($C12,[1]Data!$C$3:$Z$86,W$1, FALSE)</f>
        <v>-66</v>
      </c>
      <c r="X12" s="8">
        <f>VLOOKUP($C12,[1]Data!$C$3:$Z$86,X$1, FALSE)</f>
        <v>38</v>
      </c>
      <c r="Y12" s="8">
        <f>VLOOKUP($C12,[1]Data!$C$3:$Z$86,Y$1, FALSE)</f>
        <v>0</v>
      </c>
      <c r="Z12" s="8">
        <f>VLOOKUP($C12,[1]Data!$C$3:$Z$86,Z$1, FALSE)</f>
        <v>0</v>
      </c>
      <c r="AA12" s="8">
        <f>VLOOKUP($C12,[1]Data!$C$3:$Z$86,AA$1, FALSE)</f>
        <v>59</v>
      </c>
      <c r="AB12" s="8">
        <f>VLOOKUP($C12,[1]Data!$C$3:$Z$86,AB$1, FALSE)</f>
        <v>0</v>
      </c>
      <c r="AC12" s="8">
        <f>VLOOKUP($C12,[1]Data!$C$3:$Z$86,AC$1, FALSE)</f>
        <v>0</v>
      </c>
      <c r="AE12" s="8">
        <f t="shared" si="33"/>
        <v>11</v>
      </c>
      <c r="AF12" s="8">
        <f t="shared" si="33"/>
        <v>20</v>
      </c>
      <c r="AG12" s="8">
        <f t="shared" si="33"/>
        <v>11</v>
      </c>
      <c r="AH12" s="8">
        <f t="shared" si="33"/>
        <v>11</v>
      </c>
      <c r="AI12" s="8">
        <f t="shared" si="33"/>
        <v>11</v>
      </c>
      <c r="AJ12" s="8">
        <f t="shared" si="33"/>
        <v>7</v>
      </c>
      <c r="AK12" s="8">
        <f t="shared" si="33"/>
        <v>1</v>
      </c>
      <c r="AL12" s="8">
        <f t="shared" si="33"/>
        <v>6</v>
      </c>
      <c r="AM12" s="8">
        <f t="shared" si="33"/>
        <v>8</v>
      </c>
      <c r="AN12" s="8">
        <f t="shared" si="33"/>
        <v>4</v>
      </c>
      <c r="AO12" s="8">
        <f t="shared" si="33"/>
        <v>23</v>
      </c>
      <c r="AP12" s="8">
        <f t="shared" si="33"/>
        <v>11</v>
      </c>
      <c r="AQ12" s="8">
        <f t="shared" si="33"/>
        <v>21</v>
      </c>
      <c r="AR12" s="8">
        <f t="shared" si="33"/>
        <v>2</v>
      </c>
      <c r="AS12" s="8">
        <f t="shared" si="33"/>
        <v>3</v>
      </c>
      <c r="AT12" s="8">
        <f t="shared" si="33"/>
        <v>5</v>
      </c>
      <c r="AU12" s="8">
        <f t="shared" si="34"/>
        <v>22</v>
      </c>
      <c r="AV12" s="8">
        <f t="shared" si="34"/>
        <v>10</v>
      </c>
      <c r="AW12" s="8">
        <f t="shared" si="34"/>
        <v>11</v>
      </c>
      <c r="AX12" s="8">
        <f t="shared" si="34"/>
        <v>11</v>
      </c>
      <c r="AY12" s="8">
        <f t="shared" si="34"/>
        <v>9</v>
      </c>
      <c r="AZ12" s="8">
        <f t="shared" si="34"/>
        <v>11</v>
      </c>
      <c r="BA12" s="8">
        <f t="shared" si="34"/>
        <v>11</v>
      </c>
      <c r="BC12" s="8" t="str">
        <f t="shared" si="2"/>
        <v/>
      </c>
      <c r="BD12" s="8">
        <f>H12</f>
        <v>-9</v>
      </c>
      <c r="BE12" s="8" t="str">
        <f t="shared" si="27"/>
        <v/>
      </c>
      <c r="BF12" s="8" t="str">
        <f t="shared" si="5"/>
        <v/>
      </c>
      <c r="BG12" s="8" t="str">
        <f t="shared" si="6"/>
        <v/>
      </c>
      <c r="BH12" s="8">
        <f t="shared" si="7"/>
        <v>147</v>
      </c>
      <c r="BI12" s="8">
        <f t="shared" si="8"/>
        <v>458</v>
      </c>
      <c r="BJ12" s="8">
        <f t="shared" si="9"/>
        <v>167</v>
      </c>
      <c r="BK12" s="8">
        <f t="shared" si="10"/>
        <v>132</v>
      </c>
      <c r="BL12" s="8">
        <f t="shared" si="11"/>
        <v>205</v>
      </c>
      <c r="BM12" s="8">
        <f>Q12</f>
        <v>-99</v>
      </c>
      <c r="BN12" s="8" t="str">
        <f t="shared" si="13"/>
        <v/>
      </c>
      <c r="BO12" s="8">
        <f>S12</f>
        <v>-27</v>
      </c>
      <c r="BP12" s="8">
        <f t="shared" si="15"/>
        <v>331</v>
      </c>
      <c r="BQ12" s="8">
        <f t="shared" si="16"/>
        <v>210</v>
      </c>
      <c r="BR12" s="8">
        <f t="shared" si="17"/>
        <v>193</v>
      </c>
      <c r="BS12" s="8">
        <f>W12</f>
        <v>-66</v>
      </c>
      <c r="BT12" s="8">
        <f t="shared" si="19"/>
        <v>38</v>
      </c>
      <c r="BU12" s="8" t="str">
        <f t="shared" si="20"/>
        <v/>
      </c>
      <c r="BV12" s="8" t="str">
        <f t="shared" si="21"/>
        <v/>
      </c>
      <c r="BW12" s="8">
        <f t="shared" si="22"/>
        <v>59</v>
      </c>
      <c r="BX12" s="8" t="str">
        <f t="shared" si="23"/>
        <v/>
      </c>
      <c r="BY12" s="8" t="str">
        <f t="shared" si="24"/>
        <v/>
      </c>
      <c r="BZ12" s="8">
        <f>BD12</f>
        <v>-9</v>
      </c>
      <c r="CA12" s="8">
        <f>BH12</f>
        <v>147</v>
      </c>
      <c r="CB12" s="8">
        <f t="shared" ref="CB12:CF12" si="50">BI12</f>
        <v>458</v>
      </c>
      <c r="CC12" s="8">
        <f t="shared" si="50"/>
        <v>167</v>
      </c>
      <c r="CD12" s="8">
        <f t="shared" si="50"/>
        <v>132</v>
      </c>
      <c r="CE12" s="8">
        <f t="shared" si="50"/>
        <v>205</v>
      </c>
      <c r="CF12" s="8">
        <f t="shared" si="50"/>
        <v>-99</v>
      </c>
      <c r="CG12" s="8">
        <f>BO12</f>
        <v>-27</v>
      </c>
      <c r="CH12" s="8">
        <f t="shared" ref="CH12:CL12" si="51">BP12</f>
        <v>331</v>
      </c>
      <c r="CI12" s="8">
        <f t="shared" si="51"/>
        <v>210</v>
      </c>
      <c r="CJ12" s="8">
        <f t="shared" si="51"/>
        <v>193</v>
      </c>
      <c r="CK12" s="8">
        <f t="shared" si="51"/>
        <v>-66</v>
      </c>
      <c r="CL12" s="8">
        <f t="shared" si="51"/>
        <v>38</v>
      </c>
      <c r="CM12" s="8">
        <f>BW12</f>
        <v>59</v>
      </c>
      <c r="CO12" s="8" t="str">
        <f t="shared" si="36"/>
        <v>Agassi</v>
      </c>
      <c r="CP12" s="4">
        <f t="shared" si="43"/>
        <v>-3.1145640096755578</v>
      </c>
      <c r="CQ12" s="4">
        <f t="shared" si="37"/>
        <v>152.88543599032445</v>
      </c>
      <c r="CR12" s="4">
        <f t="shared" si="37"/>
        <v>463.88543599032442</v>
      </c>
      <c r="CS12" s="4">
        <f t="shared" si="37"/>
        <v>172.88543599032445</v>
      </c>
      <c r="CT12" s="4">
        <f t="shared" si="37"/>
        <v>137.88543599032445</v>
      </c>
      <c r="CU12" s="4">
        <f t="shared" si="37"/>
        <v>210.88543599032445</v>
      </c>
      <c r="CV12" s="4">
        <f t="shared" si="37"/>
        <v>-93.114564009675561</v>
      </c>
      <c r="CW12" s="4">
        <f t="shared" si="37"/>
        <v>-21.114564009675558</v>
      </c>
      <c r="CX12" s="4">
        <f t="shared" si="37"/>
        <v>336.88543599032442</v>
      </c>
      <c r="CY12" s="4">
        <f t="shared" si="37"/>
        <v>215.88543599032445</v>
      </c>
      <c r="CZ12" s="4">
        <f t="shared" si="37"/>
        <v>198.88543599032445</v>
      </c>
      <c r="DA12" s="4">
        <f t="shared" si="49"/>
        <v>-60.114564009675561</v>
      </c>
      <c r="DB12" s="4">
        <f t="shared" si="49"/>
        <v>43.885435990324439</v>
      </c>
      <c r="DC12" s="4">
        <f t="shared" ref="DC12:DC13" si="52">CM12+$DG12</f>
        <v>64.885435990324439</v>
      </c>
      <c r="DD12" s="4"/>
      <c r="DE12" s="8">
        <f>VLOOKUP(B12,[1]Ranking!$C$3:$BM$19, 34, FALSE)</f>
        <v>61</v>
      </c>
      <c r="DF12" s="4">
        <f>VLOOKUP(B12,[1]Ranking!$C$3:$BM$19, 63, FALSE)</f>
        <v>359.01159540979097</v>
      </c>
      <c r="DG12" s="4">
        <f t="shared" si="38"/>
        <v>5.8854359903244422</v>
      </c>
    </row>
    <row r="13" spans="1:111" x14ac:dyDescent="0.3">
      <c r="A13" s="8">
        <v>11</v>
      </c>
      <c r="B13" s="8" t="str">
        <f>VLOOKUP(A13,[1]Ranking!$Y$3:$AA$19, 3, FALSE)</f>
        <v>Edberg</v>
      </c>
      <c r="C13" s="8" t="s">
        <v>37</v>
      </c>
      <c r="D13" s="3">
        <f t="shared" ca="1" si="31"/>
        <v>0.2444444484027708</v>
      </c>
      <c r="E13" s="8">
        <f t="shared" ca="1" si="32"/>
        <v>9</v>
      </c>
      <c r="F13" s="8" t="str">
        <f t="shared" si="39"/>
        <v>Edberg</v>
      </c>
      <c r="G13" s="8">
        <f>VLOOKUP($C13,[1]Data!$C$3:$Z$86,G$1, FALSE)</f>
        <v>51</v>
      </c>
      <c r="H13" s="8">
        <f>VLOOKUP($C13,[1]Data!$C$3:$Z$86,H$1, FALSE)</f>
        <v>32</v>
      </c>
      <c r="I13" s="8">
        <f>VLOOKUP($C13,[1]Data!$C$3:$Z$86,I$1, FALSE)</f>
        <v>62</v>
      </c>
      <c r="J13" s="8">
        <f>VLOOKUP($C13,[1]Data!$C$3:$Z$86,J$1, FALSE)</f>
        <v>51</v>
      </c>
      <c r="K13" s="8">
        <f>VLOOKUP($C13,[1]Data!$C$3:$Z$86,K$1, FALSE)</f>
        <v>230</v>
      </c>
      <c r="L13" s="8">
        <f>VLOOKUP($C13,[1]Data!$C$3:$Z$86,L$1, FALSE)</f>
        <v>349</v>
      </c>
      <c r="M13" s="8">
        <f>VLOOKUP($C13,[1]Data!$C$3:$Z$86,M$1, FALSE)</f>
        <v>315</v>
      </c>
      <c r="N13" s="8">
        <f>VLOOKUP($C13,[1]Data!$C$3:$Z$86,N$1, FALSE)</f>
        <v>435</v>
      </c>
      <c r="O13" s="8">
        <f>VLOOKUP($C13,[1]Data!$C$3:$Z$86,O$1, FALSE)</f>
        <v>176</v>
      </c>
      <c r="P13" s="8">
        <f>VLOOKUP($C13,[1]Data!$C$3:$Z$86,P$1, FALSE)</f>
        <v>6</v>
      </c>
      <c r="Q13" s="8">
        <f>VLOOKUP($C13,[1]Data!$C$3:$Z$86,Q$1, FALSE)</f>
        <v>169</v>
      </c>
      <c r="R13" s="8">
        <f>VLOOKUP($C13,[1]Data!$C$3:$Z$86,R$1, FALSE)</f>
        <v>-98</v>
      </c>
      <c r="S13" s="8">
        <f>VLOOKUP($C13,[1]Data!$C$3:$Z$86,S$1, FALSE)</f>
        <v>-86</v>
      </c>
      <c r="T13" s="8">
        <f>VLOOKUP($C13,[1]Data!$C$3:$Z$86,T$1, FALSE)</f>
        <v>-9</v>
      </c>
      <c r="U13" s="8">
        <f>VLOOKUP($C13,[1]Data!$C$3:$Z$86,U$1, FALSE)</f>
        <v>0</v>
      </c>
      <c r="V13" s="8">
        <f>VLOOKUP($C13,[1]Data!$C$3:$Z$86,V$1, FALSE)</f>
        <v>0</v>
      </c>
      <c r="W13" s="8">
        <f>VLOOKUP($C13,[1]Data!$C$3:$Z$86,W$1, FALSE)</f>
        <v>0</v>
      </c>
      <c r="X13" s="8">
        <f>VLOOKUP($C13,[1]Data!$C$3:$Z$86,X$1, FALSE)</f>
        <v>0</v>
      </c>
      <c r="Y13" s="8">
        <f>VLOOKUP($C13,[1]Data!$C$3:$Z$86,Y$1, FALSE)</f>
        <v>0</v>
      </c>
      <c r="Z13" s="8">
        <f>VLOOKUP($C13,[1]Data!$C$3:$Z$86,Z$1, FALSE)</f>
        <v>0</v>
      </c>
      <c r="AA13" s="8">
        <f>VLOOKUP($C13,[1]Data!$C$3:$Z$86,AA$1, FALSE)</f>
        <v>0</v>
      </c>
      <c r="AB13" s="8">
        <f>VLOOKUP($C13,[1]Data!$C$3:$Z$86,AB$1, FALSE)</f>
        <v>0</v>
      </c>
      <c r="AC13" s="8">
        <f>VLOOKUP($C13,[1]Data!$C$3:$Z$86,AC$1, FALSE)</f>
        <v>0</v>
      </c>
      <c r="AE13" s="8">
        <f t="shared" si="33"/>
        <v>8</v>
      </c>
      <c r="AF13" s="8">
        <f t="shared" si="33"/>
        <v>10</v>
      </c>
      <c r="AG13" s="8">
        <f t="shared" si="33"/>
        <v>7</v>
      </c>
      <c r="AH13" s="8">
        <f t="shared" si="33"/>
        <v>8</v>
      </c>
      <c r="AI13" s="8">
        <f t="shared" si="33"/>
        <v>4</v>
      </c>
      <c r="AJ13" s="8">
        <f t="shared" si="33"/>
        <v>2</v>
      </c>
      <c r="AK13" s="8">
        <f t="shared" si="33"/>
        <v>3</v>
      </c>
      <c r="AL13" s="8">
        <f t="shared" si="33"/>
        <v>1</v>
      </c>
      <c r="AM13" s="8">
        <f t="shared" si="33"/>
        <v>5</v>
      </c>
      <c r="AN13" s="8">
        <f t="shared" si="33"/>
        <v>11</v>
      </c>
      <c r="AO13" s="8">
        <f t="shared" si="33"/>
        <v>6</v>
      </c>
      <c r="AP13" s="8">
        <f t="shared" si="33"/>
        <v>23</v>
      </c>
      <c r="AQ13" s="8">
        <f t="shared" si="33"/>
        <v>22</v>
      </c>
      <c r="AR13" s="8">
        <f t="shared" si="33"/>
        <v>21</v>
      </c>
      <c r="AS13" s="8">
        <f t="shared" si="33"/>
        <v>12</v>
      </c>
      <c r="AT13" s="8">
        <f t="shared" si="33"/>
        <v>12</v>
      </c>
      <c r="AU13" s="8">
        <f t="shared" si="34"/>
        <v>12</v>
      </c>
      <c r="AV13" s="8">
        <f t="shared" si="34"/>
        <v>12</v>
      </c>
      <c r="AW13" s="8">
        <f t="shared" si="34"/>
        <v>12</v>
      </c>
      <c r="AX13" s="8">
        <f t="shared" si="34"/>
        <v>12</v>
      </c>
      <c r="AY13" s="8">
        <f t="shared" si="34"/>
        <v>12</v>
      </c>
      <c r="AZ13" s="8">
        <f t="shared" si="34"/>
        <v>12</v>
      </c>
      <c r="BA13" s="8">
        <f t="shared" si="34"/>
        <v>12</v>
      </c>
      <c r="BC13" s="8">
        <f t="shared" si="2"/>
        <v>51</v>
      </c>
      <c r="BD13" s="8">
        <f t="shared" si="3"/>
        <v>32</v>
      </c>
      <c r="BE13" s="8">
        <f t="shared" si="27"/>
        <v>62</v>
      </c>
      <c r="BF13" s="8">
        <f t="shared" si="5"/>
        <v>51</v>
      </c>
      <c r="BG13" s="8">
        <f t="shared" si="6"/>
        <v>230</v>
      </c>
      <c r="BH13" s="8">
        <f t="shared" si="7"/>
        <v>349</v>
      </c>
      <c r="BI13" s="8">
        <f t="shared" si="8"/>
        <v>315</v>
      </c>
      <c r="BJ13" s="8">
        <f t="shared" si="9"/>
        <v>435</v>
      </c>
      <c r="BK13" s="8">
        <f t="shared" si="10"/>
        <v>176</v>
      </c>
      <c r="BL13" s="8">
        <f t="shared" si="11"/>
        <v>6</v>
      </c>
      <c r="BM13" s="8">
        <f t="shared" si="12"/>
        <v>169</v>
      </c>
      <c r="BN13" s="8">
        <f>R13</f>
        <v>-98</v>
      </c>
      <c r="BO13" s="8">
        <f>S13</f>
        <v>-86</v>
      </c>
      <c r="BP13" s="8">
        <f>T13</f>
        <v>-9</v>
      </c>
      <c r="BQ13" s="8" t="str">
        <f t="shared" si="16"/>
        <v/>
      </c>
      <c r="BR13" s="8" t="str">
        <f t="shared" si="17"/>
        <v/>
      </c>
      <c r="BS13" s="8" t="str">
        <f t="shared" si="18"/>
        <v/>
      </c>
      <c r="BT13" s="8" t="str">
        <f t="shared" si="19"/>
        <v/>
      </c>
      <c r="BU13" s="8" t="str">
        <f t="shared" si="20"/>
        <v/>
      </c>
      <c r="BV13" s="8" t="str">
        <f t="shared" si="21"/>
        <v/>
      </c>
      <c r="BW13" s="8" t="str">
        <f t="shared" si="22"/>
        <v/>
      </c>
      <c r="BX13" s="8" t="str">
        <f t="shared" si="23"/>
        <v/>
      </c>
      <c r="BY13" s="8" t="str">
        <f t="shared" si="24"/>
        <v/>
      </c>
      <c r="BZ13" s="8">
        <f>BC13</f>
        <v>51</v>
      </c>
      <c r="CA13" s="8">
        <f t="shared" ref="CA13:CM13" si="53">BD13</f>
        <v>32</v>
      </c>
      <c r="CB13" s="8">
        <f t="shared" si="53"/>
        <v>62</v>
      </c>
      <c r="CC13" s="8">
        <f t="shared" si="53"/>
        <v>51</v>
      </c>
      <c r="CD13" s="8">
        <f t="shared" si="53"/>
        <v>230</v>
      </c>
      <c r="CE13" s="8">
        <f t="shared" si="53"/>
        <v>349</v>
      </c>
      <c r="CF13" s="8">
        <f t="shared" si="53"/>
        <v>315</v>
      </c>
      <c r="CG13" s="8">
        <f t="shared" si="53"/>
        <v>435</v>
      </c>
      <c r="CH13" s="8">
        <f t="shared" si="53"/>
        <v>176</v>
      </c>
      <c r="CI13" s="8">
        <f t="shared" si="53"/>
        <v>6</v>
      </c>
      <c r="CJ13" s="8">
        <f t="shared" si="53"/>
        <v>169</v>
      </c>
      <c r="CK13" s="8">
        <f t="shared" si="53"/>
        <v>-98</v>
      </c>
      <c r="CL13" s="8">
        <f t="shared" si="53"/>
        <v>-86</v>
      </c>
      <c r="CM13" s="8">
        <f t="shared" si="53"/>
        <v>-9</v>
      </c>
      <c r="CO13" s="8" t="str">
        <f t="shared" si="36"/>
        <v>Edberg</v>
      </c>
      <c r="CP13" s="4">
        <f t="shared" si="43"/>
        <v>62.16221792201388</v>
      </c>
      <c r="CQ13" s="4">
        <f>CA13+$DG13</f>
        <v>43.16221792201388</v>
      </c>
      <c r="CR13" s="4">
        <f>CA13+$DG13</f>
        <v>43.16221792201388</v>
      </c>
      <c r="CS13" s="4">
        <f t="shared" si="37"/>
        <v>62.16221792201388</v>
      </c>
      <c r="CT13" s="4">
        <f t="shared" si="37"/>
        <v>241.16221792201389</v>
      </c>
      <c r="CU13" s="4">
        <f t="shared" si="37"/>
        <v>360.16221792201389</v>
      </c>
      <c r="CV13" s="4">
        <f t="shared" si="37"/>
        <v>326.16221792201389</v>
      </c>
      <c r="CW13" s="4">
        <f t="shared" si="37"/>
        <v>446.16221792201389</v>
      </c>
      <c r="CX13" s="4">
        <f t="shared" si="37"/>
        <v>187.16221792201389</v>
      </c>
      <c r="CY13" s="4">
        <f t="shared" si="37"/>
        <v>17.162217922013884</v>
      </c>
      <c r="CZ13" s="4">
        <f t="shared" si="37"/>
        <v>180.16221792201389</v>
      </c>
      <c r="DA13" s="4">
        <f t="shared" si="49"/>
        <v>-86.83778207798612</v>
      </c>
      <c r="DB13" s="4">
        <f t="shared" si="49"/>
        <v>-74.83778207798612</v>
      </c>
      <c r="DC13" s="4">
        <f t="shared" si="52"/>
        <v>2.162217922013884</v>
      </c>
      <c r="DD13" s="4"/>
      <c r="DE13" s="8">
        <f>VLOOKUP(B13,[1]Ranking!$C$3:$BM$19, 34, FALSE)</f>
        <v>54</v>
      </c>
      <c r="DF13" s="4">
        <f>VLOOKUP(B13,[1]Ranking!$C$3:$BM$19, 63, FALSE)</f>
        <v>602.75976778874974</v>
      </c>
      <c r="DG13" s="4">
        <f t="shared" si="38"/>
        <v>11.162217922013884</v>
      </c>
    </row>
    <row r="14" spans="1:111" x14ac:dyDescent="0.3">
      <c r="A14" s="8">
        <v>12</v>
      </c>
      <c r="B14" s="8" t="str">
        <f>VLOOKUP(A14,[1]Ranking!$Y$3:$AA$19, 3, FALSE)</f>
        <v>Lendl</v>
      </c>
      <c r="C14" s="8" t="s">
        <v>32</v>
      </c>
      <c r="D14" s="3">
        <f t="shared" ca="1" si="31"/>
        <v>0.68827841116965327</v>
      </c>
      <c r="E14" s="8">
        <f t="shared" ca="1" si="32"/>
        <v>3</v>
      </c>
      <c r="F14" s="8" t="str">
        <f t="shared" si="39"/>
        <v>Lendl</v>
      </c>
      <c r="G14" s="8">
        <f>VLOOKUP($C14,[1]Data!$C$3:$Z$86,G$1, FALSE)</f>
        <v>0</v>
      </c>
      <c r="H14" s="8">
        <f>VLOOKUP($C14,[1]Data!$C$3:$Z$86,H$1, FALSE)</f>
        <v>-46</v>
      </c>
      <c r="I14" s="8">
        <f>VLOOKUP($C14,[1]Data!$C$3:$Z$86,I$1, FALSE)</f>
        <v>44</v>
      </c>
      <c r="J14" s="8">
        <f>VLOOKUP($C14,[1]Data!$C$3:$Z$86,J$1, FALSE)</f>
        <v>-99</v>
      </c>
      <c r="K14" s="8">
        <f>VLOOKUP($C14,[1]Data!$C$3:$Z$86,K$1, FALSE)</f>
        <v>0</v>
      </c>
      <c r="L14" s="8">
        <f>VLOOKUP($C14,[1]Data!$C$3:$Z$86,L$1, FALSE)</f>
        <v>105</v>
      </c>
      <c r="M14" s="8">
        <f>VLOOKUP($C14,[1]Data!$C$3:$Z$86,M$1, FALSE)</f>
        <v>199</v>
      </c>
      <c r="N14" s="8">
        <f>VLOOKUP($C14,[1]Data!$C$3:$Z$86,N$1, FALSE)</f>
        <v>69</v>
      </c>
      <c r="O14" s="8">
        <f>VLOOKUP($C14,[1]Data!$C$3:$Z$86,O$1, FALSE)</f>
        <v>315</v>
      </c>
      <c r="P14" s="8">
        <f>VLOOKUP($C14,[1]Data!$C$3:$Z$86,P$1, FALSE)</f>
        <v>327</v>
      </c>
      <c r="Q14" s="8">
        <f>VLOOKUP($C14,[1]Data!$C$3:$Z$86,Q$1, FALSE)</f>
        <v>261</v>
      </c>
      <c r="R14" s="8">
        <f>VLOOKUP($C14,[1]Data!$C$3:$Z$86,R$1, FALSE)</f>
        <v>110</v>
      </c>
      <c r="S14" s="8">
        <f>VLOOKUP($C14,[1]Data!$C$3:$Z$86,S$1, FALSE)</f>
        <v>122</v>
      </c>
      <c r="T14" s="8">
        <f>VLOOKUP($C14,[1]Data!$C$3:$Z$86,T$1, FALSE)</f>
        <v>13</v>
      </c>
      <c r="U14" s="8">
        <f>VLOOKUP($C14,[1]Data!$C$3:$Z$86,U$1, FALSE)</f>
        <v>0</v>
      </c>
      <c r="V14" s="8">
        <f>VLOOKUP($C14,[1]Data!$C$3:$Z$86,V$1, FALSE)</f>
        <v>-23</v>
      </c>
      <c r="W14" s="8">
        <f>VLOOKUP($C14,[1]Data!$C$3:$Z$86,W$1, FALSE)</f>
        <v>0</v>
      </c>
      <c r="X14" s="8">
        <f>VLOOKUP($C14,[1]Data!$C$3:$Z$86,X$1, FALSE)</f>
        <v>0</v>
      </c>
      <c r="Y14" s="8">
        <f>VLOOKUP($C14,[1]Data!$C$3:$Z$86,Y$1, FALSE)</f>
        <v>0</v>
      </c>
      <c r="Z14" s="8">
        <f>VLOOKUP($C14,[1]Data!$C$3:$Z$86,Z$1, FALSE)</f>
        <v>0</v>
      </c>
      <c r="AA14" s="8">
        <f>VLOOKUP($C14,[1]Data!$C$3:$Z$86,AA$1, FALSE)</f>
        <v>0</v>
      </c>
      <c r="AB14" s="8">
        <f>VLOOKUP($C14,[1]Data!$C$3:$Z$86,AB$1, FALSE)</f>
        <v>0</v>
      </c>
      <c r="AC14" s="8">
        <f>VLOOKUP($C14,[1]Data!$C$3:$Z$86,AC$1, FALSE)</f>
        <v>0</v>
      </c>
      <c r="AE14" s="8">
        <f t="shared" si="33"/>
        <v>11</v>
      </c>
      <c r="AF14" s="8">
        <f t="shared" si="33"/>
        <v>22</v>
      </c>
      <c r="AG14" s="8">
        <f t="shared" si="33"/>
        <v>9</v>
      </c>
      <c r="AH14" s="8">
        <f t="shared" si="33"/>
        <v>23</v>
      </c>
      <c r="AI14" s="8">
        <f t="shared" si="33"/>
        <v>11</v>
      </c>
      <c r="AJ14" s="8">
        <f t="shared" si="33"/>
        <v>7</v>
      </c>
      <c r="AK14" s="8">
        <f t="shared" si="33"/>
        <v>4</v>
      </c>
      <c r="AL14" s="8">
        <f t="shared" si="33"/>
        <v>8</v>
      </c>
      <c r="AM14" s="8">
        <f t="shared" si="33"/>
        <v>2</v>
      </c>
      <c r="AN14" s="8">
        <f t="shared" si="33"/>
        <v>1</v>
      </c>
      <c r="AO14" s="8">
        <f t="shared" si="33"/>
        <v>3</v>
      </c>
      <c r="AP14" s="8">
        <f t="shared" si="33"/>
        <v>6</v>
      </c>
      <c r="AQ14" s="8">
        <f t="shared" si="33"/>
        <v>5</v>
      </c>
      <c r="AR14" s="8">
        <f t="shared" si="33"/>
        <v>10</v>
      </c>
      <c r="AS14" s="8">
        <f t="shared" si="33"/>
        <v>11</v>
      </c>
      <c r="AT14" s="8">
        <f t="shared" si="33"/>
        <v>21</v>
      </c>
      <c r="AU14" s="8">
        <f t="shared" si="34"/>
        <v>11</v>
      </c>
      <c r="AV14" s="8">
        <f t="shared" si="34"/>
        <v>11</v>
      </c>
      <c r="AW14" s="8">
        <f t="shared" si="34"/>
        <v>11</v>
      </c>
      <c r="AX14" s="8">
        <f t="shared" si="34"/>
        <v>11</v>
      </c>
      <c r="AY14" s="8">
        <f t="shared" si="34"/>
        <v>11</v>
      </c>
      <c r="AZ14" s="8">
        <f t="shared" si="34"/>
        <v>11</v>
      </c>
      <c r="BA14" s="8">
        <f t="shared" si="34"/>
        <v>11</v>
      </c>
      <c r="BC14" s="8" t="str">
        <f t="shared" si="2"/>
        <v/>
      </c>
      <c r="BD14" s="8">
        <f>H14</f>
        <v>-46</v>
      </c>
      <c r="BE14" s="8">
        <f t="shared" si="27"/>
        <v>44</v>
      </c>
      <c r="BF14" s="8">
        <f>J14</f>
        <v>-99</v>
      </c>
      <c r="BG14" s="8" t="str">
        <f t="shared" si="6"/>
        <v/>
      </c>
      <c r="BH14" s="8">
        <f t="shared" si="7"/>
        <v>105</v>
      </c>
      <c r="BI14" s="8">
        <f t="shared" si="8"/>
        <v>199</v>
      </c>
      <c r="BJ14" s="8">
        <f t="shared" si="9"/>
        <v>69</v>
      </c>
      <c r="BK14" s="8">
        <f t="shared" si="10"/>
        <v>315</v>
      </c>
      <c r="BL14" s="8">
        <f t="shared" si="11"/>
        <v>327</v>
      </c>
      <c r="BM14" s="8">
        <f t="shared" si="12"/>
        <v>261</v>
      </c>
      <c r="BN14" s="8">
        <f t="shared" si="13"/>
        <v>110</v>
      </c>
      <c r="BO14" s="8">
        <f t="shared" si="14"/>
        <v>122</v>
      </c>
      <c r="BP14" s="8">
        <f t="shared" si="15"/>
        <v>13</v>
      </c>
      <c r="BQ14" s="8" t="str">
        <f t="shared" si="16"/>
        <v/>
      </c>
      <c r="BR14" s="8">
        <f>V14</f>
        <v>-23</v>
      </c>
      <c r="BS14" s="8" t="str">
        <f t="shared" si="18"/>
        <v/>
      </c>
      <c r="BT14" s="8" t="str">
        <f t="shared" si="19"/>
        <v/>
      </c>
      <c r="BU14" s="8" t="str">
        <f t="shared" si="20"/>
        <v/>
      </c>
      <c r="BV14" s="8" t="str">
        <f t="shared" si="21"/>
        <v/>
      </c>
      <c r="BW14" s="8" t="str">
        <f t="shared" si="22"/>
        <v/>
      </c>
      <c r="BX14" s="8" t="str">
        <f t="shared" si="23"/>
        <v/>
      </c>
      <c r="BY14" s="8" t="str">
        <f t="shared" si="24"/>
        <v/>
      </c>
      <c r="BZ14" s="8">
        <f>BD14</f>
        <v>-46</v>
      </c>
      <c r="CA14" s="8">
        <f>BE14</f>
        <v>44</v>
      </c>
      <c r="CB14" s="8">
        <f>BF14</f>
        <v>-99</v>
      </c>
      <c r="CC14" s="8">
        <f>BH14</f>
        <v>105</v>
      </c>
      <c r="CD14" s="8">
        <f t="shared" ref="CD14:CK14" si="54">BI14</f>
        <v>199</v>
      </c>
      <c r="CE14" s="8">
        <f t="shared" si="54"/>
        <v>69</v>
      </c>
      <c r="CF14" s="8">
        <f t="shared" si="54"/>
        <v>315</v>
      </c>
      <c r="CG14" s="8">
        <f t="shared" si="54"/>
        <v>327</v>
      </c>
      <c r="CH14" s="8">
        <f t="shared" si="54"/>
        <v>261</v>
      </c>
      <c r="CI14" s="8">
        <f t="shared" si="54"/>
        <v>110</v>
      </c>
      <c r="CJ14" s="8">
        <f t="shared" si="54"/>
        <v>122</v>
      </c>
      <c r="CK14" s="8">
        <f t="shared" si="54"/>
        <v>13</v>
      </c>
      <c r="CL14" s="8">
        <f>BR14</f>
        <v>-23</v>
      </c>
      <c r="CO14" s="8" t="str">
        <f t="shared" si="36"/>
        <v>Lendl</v>
      </c>
      <c r="CP14" s="4">
        <f t="shared" si="43"/>
        <v>-34.837782077986112</v>
      </c>
      <c r="CQ14" s="4">
        <f t="shared" si="37"/>
        <v>55.162217922013888</v>
      </c>
      <c r="CR14" s="4">
        <f t="shared" si="37"/>
        <v>-87.837782077986105</v>
      </c>
      <c r="CS14" s="4">
        <f t="shared" si="37"/>
        <v>116.16221792201389</v>
      </c>
      <c r="CT14" s="4">
        <f t="shared" si="37"/>
        <v>210.16221792201389</v>
      </c>
      <c r="CU14" s="4">
        <f t="shared" si="37"/>
        <v>80.162217922013895</v>
      </c>
      <c r="CV14" s="4">
        <f t="shared" si="37"/>
        <v>326.16221792201389</v>
      </c>
      <c r="CW14" s="4">
        <f t="shared" si="37"/>
        <v>338.16221792201389</v>
      </c>
      <c r="CX14" s="4">
        <f t="shared" si="37"/>
        <v>272.16221792201389</v>
      </c>
      <c r="CY14" s="4">
        <f t="shared" si="37"/>
        <v>121.16221792201389</v>
      </c>
      <c r="CZ14" s="4">
        <f t="shared" si="37"/>
        <v>133.16221792201389</v>
      </c>
      <c r="DA14" s="4">
        <f t="shared" si="37"/>
        <v>24.162217922013888</v>
      </c>
      <c r="DB14" s="4">
        <f t="shared" si="37"/>
        <v>-11.837782077986112</v>
      </c>
      <c r="DC14" s="4"/>
      <c r="DD14" s="4"/>
      <c r="DE14" s="8">
        <f>VLOOKUP(B14,[1]Ranking!$C$3:$BM$19, 34, FALSE)</f>
        <v>57</v>
      </c>
      <c r="DF14" s="4">
        <f>VLOOKUP(B14,[1]Ranking!$C$3:$BM$19, 63, FALSE)</f>
        <v>636.2464215547916</v>
      </c>
      <c r="DG14" s="4">
        <f t="shared" si="38"/>
        <v>11.162217922013888</v>
      </c>
    </row>
    <row r="15" spans="1:111" x14ac:dyDescent="0.3">
      <c r="A15" s="8">
        <v>13</v>
      </c>
      <c r="B15" s="8" t="str">
        <f>VLOOKUP(A15,[1]Ranking!$Y$3:$AA$19, 3, FALSE)</f>
        <v>Wilander</v>
      </c>
      <c r="C15" s="8" t="s">
        <v>33</v>
      </c>
      <c r="D15" s="3">
        <f t="shared" ca="1" si="31"/>
        <v>7.6727859593056502E-2</v>
      </c>
      <c r="E15" s="8">
        <f t="shared" ca="1" si="32"/>
        <v>12</v>
      </c>
      <c r="F15" s="8" t="str">
        <f t="shared" si="39"/>
        <v>Wilander</v>
      </c>
      <c r="G15" s="8">
        <f>VLOOKUP($C15,[1]Data!$C$3:$Z$86,G$1, FALSE)</f>
        <v>1</v>
      </c>
      <c r="H15" s="8">
        <f>VLOOKUP($C15,[1]Data!$C$3:$Z$86,H$1, FALSE)</f>
        <v>111</v>
      </c>
      <c r="I15" s="8">
        <f>VLOOKUP($C15,[1]Data!$C$3:$Z$86,I$1, FALSE)</f>
        <v>6</v>
      </c>
      <c r="J15" s="8">
        <f>VLOOKUP($C15,[1]Data!$C$3:$Z$86,J$1, FALSE)</f>
        <v>-32</v>
      </c>
      <c r="K15" s="8">
        <f>VLOOKUP($C15,[1]Data!$C$3:$Z$86,K$1, FALSE)</f>
        <v>-77</v>
      </c>
      <c r="L15" s="8">
        <f>VLOOKUP($C15,[1]Data!$C$3:$Z$86,L$1, FALSE)</f>
        <v>-46</v>
      </c>
      <c r="M15" s="8">
        <f>VLOOKUP($C15,[1]Data!$C$3:$Z$86,M$1, FALSE)</f>
        <v>220</v>
      </c>
      <c r="N15" s="8">
        <f>VLOOKUP($C15,[1]Data!$C$3:$Z$86,N$1, FALSE)</f>
        <v>121</v>
      </c>
      <c r="O15" s="8">
        <f>VLOOKUP($C15,[1]Data!$C$3:$Z$86,O$1, FALSE)</f>
        <v>127</v>
      </c>
      <c r="P15" s="8">
        <f>VLOOKUP($C15,[1]Data!$C$3:$Z$86,P$1, FALSE)</f>
        <v>0</v>
      </c>
      <c r="Q15" s="8">
        <f>VLOOKUP($C15,[1]Data!$C$3:$Z$86,Q$1, FALSE)</f>
        <v>0</v>
      </c>
      <c r="R15" s="8">
        <f>VLOOKUP($C15,[1]Data!$C$3:$Z$86,R$1, FALSE)</f>
        <v>0</v>
      </c>
      <c r="S15" s="8">
        <f>VLOOKUP($C15,[1]Data!$C$3:$Z$86,S$1, FALSE)</f>
        <v>0</v>
      </c>
      <c r="T15" s="8">
        <f>VLOOKUP($C15,[1]Data!$C$3:$Z$86,T$1, FALSE)</f>
        <v>0</v>
      </c>
      <c r="U15" s="8">
        <f>VLOOKUP($C15,[1]Data!$C$3:$Z$86,U$1, FALSE)</f>
        <v>5</v>
      </c>
      <c r="V15" s="8">
        <f>VLOOKUP($C15,[1]Data!$C$3:$Z$86,V$1, FALSE)</f>
        <v>0</v>
      </c>
      <c r="W15" s="8">
        <f>VLOOKUP($C15,[1]Data!$C$3:$Z$86,W$1, FALSE)</f>
        <v>0</v>
      </c>
      <c r="X15" s="8">
        <f>VLOOKUP($C15,[1]Data!$C$3:$Z$86,X$1, FALSE)</f>
        <v>0</v>
      </c>
      <c r="Y15" s="8">
        <f>VLOOKUP($C15,[1]Data!$C$3:$Z$86,Y$1, FALSE)</f>
        <v>0</v>
      </c>
      <c r="Z15" s="8">
        <f>VLOOKUP($C15,[1]Data!$C$3:$Z$86,Z$1, FALSE)</f>
        <v>0</v>
      </c>
      <c r="AA15" s="8">
        <f>VLOOKUP($C15,[1]Data!$C$3:$Z$86,AA$1, FALSE)</f>
        <v>0</v>
      </c>
      <c r="AB15" s="8">
        <f>VLOOKUP($C15,[1]Data!$C$3:$Z$86,AB$1, FALSE)</f>
        <v>0</v>
      </c>
      <c r="AC15" s="8">
        <f>VLOOKUP($C15,[1]Data!$C$3:$Z$86,AC$1, FALSE)</f>
        <v>0</v>
      </c>
      <c r="AE15" s="8">
        <f t="shared" si="33"/>
        <v>7</v>
      </c>
      <c r="AF15" s="8">
        <f t="shared" si="33"/>
        <v>4</v>
      </c>
      <c r="AG15" s="8">
        <f t="shared" si="33"/>
        <v>5</v>
      </c>
      <c r="AH15" s="8">
        <f t="shared" si="33"/>
        <v>21</v>
      </c>
      <c r="AI15" s="8">
        <f t="shared" si="33"/>
        <v>23</v>
      </c>
      <c r="AJ15" s="8">
        <f t="shared" si="33"/>
        <v>22</v>
      </c>
      <c r="AK15" s="8">
        <f t="shared" si="33"/>
        <v>1</v>
      </c>
      <c r="AL15" s="8">
        <f t="shared" si="33"/>
        <v>3</v>
      </c>
      <c r="AM15" s="8">
        <f t="shared" si="33"/>
        <v>2</v>
      </c>
      <c r="AN15" s="8">
        <f t="shared" si="33"/>
        <v>8</v>
      </c>
      <c r="AO15" s="8">
        <f t="shared" si="33"/>
        <v>8</v>
      </c>
      <c r="AP15" s="8">
        <f t="shared" si="33"/>
        <v>8</v>
      </c>
      <c r="AQ15" s="8">
        <f t="shared" si="33"/>
        <v>8</v>
      </c>
      <c r="AR15" s="8">
        <f t="shared" si="33"/>
        <v>8</v>
      </c>
      <c r="AS15" s="8">
        <f t="shared" si="33"/>
        <v>6</v>
      </c>
      <c r="AT15" s="8">
        <f t="shared" si="33"/>
        <v>8</v>
      </c>
      <c r="AU15" s="8">
        <f t="shared" si="34"/>
        <v>8</v>
      </c>
      <c r="AV15" s="8">
        <f t="shared" si="34"/>
        <v>8</v>
      </c>
      <c r="AW15" s="8">
        <f t="shared" si="34"/>
        <v>8</v>
      </c>
      <c r="AX15" s="8">
        <f t="shared" si="34"/>
        <v>8</v>
      </c>
      <c r="AY15" s="8">
        <f t="shared" si="34"/>
        <v>8</v>
      </c>
      <c r="AZ15" s="8">
        <f t="shared" si="34"/>
        <v>8</v>
      </c>
      <c r="BA15" s="8">
        <f t="shared" si="34"/>
        <v>8</v>
      </c>
      <c r="BC15" s="8">
        <f t="shared" si="2"/>
        <v>1</v>
      </c>
      <c r="BD15" s="8">
        <f t="shared" si="3"/>
        <v>111</v>
      </c>
      <c r="BE15" s="8">
        <f t="shared" si="27"/>
        <v>6</v>
      </c>
      <c r="BF15" s="8">
        <f>J15</f>
        <v>-32</v>
      </c>
      <c r="BG15" s="8">
        <f>K15</f>
        <v>-77</v>
      </c>
      <c r="BH15" s="8">
        <f>L15</f>
        <v>-46</v>
      </c>
      <c r="BI15" s="8">
        <f t="shared" si="8"/>
        <v>220</v>
      </c>
      <c r="BJ15" s="8">
        <f t="shared" si="9"/>
        <v>121</v>
      </c>
      <c r="BK15" s="8">
        <f t="shared" si="10"/>
        <v>127</v>
      </c>
      <c r="BL15" s="8" t="str">
        <f t="shared" si="11"/>
        <v/>
      </c>
      <c r="BM15" s="8" t="str">
        <f t="shared" si="12"/>
        <v/>
      </c>
      <c r="BN15" s="8" t="str">
        <f t="shared" si="13"/>
        <v/>
      </c>
      <c r="BO15" s="8" t="str">
        <f t="shared" si="14"/>
        <v/>
      </c>
      <c r="BP15" s="8" t="str">
        <f t="shared" si="15"/>
        <v/>
      </c>
      <c r="BQ15" s="8">
        <f t="shared" si="16"/>
        <v>5</v>
      </c>
      <c r="BR15" s="8" t="str">
        <f t="shared" si="17"/>
        <v/>
      </c>
      <c r="BS15" s="8" t="str">
        <f t="shared" si="18"/>
        <v/>
      </c>
      <c r="BT15" s="8" t="str">
        <f t="shared" si="19"/>
        <v/>
      </c>
      <c r="BU15" s="8" t="str">
        <f t="shared" si="20"/>
        <v/>
      </c>
      <c r="BV15" s="8" t="str">
        <f t="shared" si="21"/>
        <v/>
      </c>
      <c r="BW15" s="8" t="str">
        <f t="shared" si="22"/>
        <v/>
      </c>
      <c r="BX15" s="8" t="str">
        <f t="shared" si="23"/>
        <v/>
      </c>
      <c r="BY15" s="8" t="str">
        <f t="shared" si="24"/>
        <v/>
      </c>
      <c r="BZ15" s="8">
        <f>BC15</f>
        <v>1</v>
      </c>
      <c r="CA15" s="8">
        <f t="shared" ref="CA15:CH16" si="55">BD15</f>
        <v>111</v>
      </c>
      <c r="CB15" s="8">
        <f t="shared" si="55"/>
        <v>6</v>
      </c>
      <c r="CC15" s="8">
        <f t="shared" si="55"/>
        <v>-32</v>
      </c>
      <c r="CD15" s="8">
        <f t="shared" si="55"/>
        <v>-77</v>
      </c>
      <c r="CE15" s="8">
        <f t="shared" si="55"/>
        <v>-46</v>
      </c>
      <c r="CF15" s="8">
        <f t="shared" si="55"/>
        <v>220</v>
      </c>
      <c r="CG15" s="8">
        <f t="shared" si="55"/>
        <v>121</v>
      </c>
      <c r="CH15" s="8">
        <f t="shared" si="55"/>
        <v>127</v>
      </c>
      <c r="CI15" s="8">
        <f>BQ15</f>
        <v>5</v>
      </c>
      <c r="CO15" s="8" t="str">
        <f t="shared" si="36"/>
        <v>Wilander</v>
      </c>
      <c r="CP15" s="4">
        <f t="shared" si="43"/>
        <v>12.162217922013889</v>
      </c>
      <c r="CQ15" s="4">
        <f t="shared" si="37"/>
        <v>122.16221792201389</v>
      </c>
      <c r="CR15" s="4">
        <f t="shared" si="37"/>
        <v>17.162217922013888</v>
      </c>
      <c r="CS15" s="4">
        <f t="shared" si="37"/>
        <v>-20.837782077986112</v>
      </c>
      <c r="CT15" s="4">
        <f t="shared" si="37"/>
        <v>-65.837782077986105</v>
      </c>
      <c r="CU15" s="4">
        <f t="shared" si="37"/>
        <v>-34.837782077986112</v>
      </c>
      <c r="CV15" s="4">
        <f t="shared" si="37"/>
        <v>231.16221792201389</v>
      </c>
      <c r="CW15" s="4">
        <f t="shared" si="37"/>
        <v>132.16221792201389</v>
      </c>
      <c r="CX15" s="4">
        <f t="shared" si="37"/>
        <v>138.16221792201389</v>
      </c>
      <c r="CY15" s="4">
        <f t="shared" si="37"/>
        <v>16.162217922013888</v>
      </c>
      <c r="CZ15" s="4"/>
      <c r="DA15" s="4"/>
      <c r="DB15" s="4"/>
      <c r="DC15" s="4"/>
      <c r="DD15" s="4"/>
      <c r="DE15" s="8">
        <f>VLOOKUP(B15,[1]Ranking!$C$3:$BM$19, 34, FALSE)</f>
        <v>44</v>
      </c>
      <c r="DF15" s="4">
        <f>VLOOKUP(B15,[1]Ranking!$C$3:$BM$19, 63, FALSE)</f>
        <v>491.13758856861114</v>
      </c>
      <c r="DG15" s="4">
        <f t="shared" si="38"/>
        <v>11.162217922013889</v>
      </c>
    </row>
    <row r="16" spans="1:111" x14ac:dyDescent="0.3">
      <c r="A16" s="8">
        <v>14</v>
      </c>
      <c r="B16" s="8" t="str">
        <f>VLOOKUP(A16,[1]Ranking!$Y$3:$AA$19, 3, FALSE)</f>
        <v>Wawrinka</v>
      </c>
      <c r="C16" s="8" t="s">
        <v>34</v>
      </c>
      <c r="D16" s="3">
        <f t="shared" ca="1" si="31"/>
        <v>0.92892902209051453</v>
      </c>
      <c r="E16" s="8">
        <f t="shared" ca="1" si="32"/>
        <v>1</v>
      </c>
      <c r="F16" s="8" t="str">
        <f t="shared" si="39"/>
        <v>Wawrinka</v>
      </c>
      <c r="G16" s="8">
        <f>VLOOKUP($C16,[1]Data!$C$3:$Z$86,G$1, FALSE)</f>
        <v>-53</v>
      </c>
      <c r="H16" s="8">
        <f>VLOOKUP($C16,[1]Data!$C$3:$Z$86,H$1, FALSE)</f>
        <v>75</v>
      </c>
      <c r="I16" s="8">
        <f>VLOOKUP($C16,[1]Data!$C$3:$Z$86,I$1, FALSE)</f>
        <v>-68</v>
      </c>
      <c r="J16" s="8">
        <f>VLOOKUP($C16,[1]Data!$C$3:$Z$86,J$1, FALSE)</f>
        <v>-5</v>
      </c>
      <c r="K16" s="8">
        <f>VLOOKUP($C16,[1]Data!$C$3:$Z$86,K$1, FALSE)</f>
        <v>42</v>
      </c>
      <c r="L16" s="8">
        <f>VLOOKUP($C16,[1]Data!$C$3:$Z$86,L$1, FALSE)</f>
        <v>-70</v>
      </c>
      <c r="M16" s="8">
        <f>VLOOKUP($C16,[1]Data!$C$3:$Z$86,M$1, FALSE)</f>
        <v>-48</v>
      </c>
      <c r="N16" s="8">
        <f>VLOOKUP($C16,[1]Data!$C$3:$Z$86,N$1, FALSE)</f>
        <v>-35</v>
      </c>
      <c r="O16" s="8">
        <f>VLOOKUP($C16,[1]Data!$C$3:$Z$86,O$1, FALSE)</f>
        <v>-70</v>
      </c>
      <c r="P16" s="8">
        <f>VLOOKUP($C16,[1]Data!$C$3:$Z$86,P$1, FALSE)</f>
        <v>254</v>
      </c>
      <c r="Q16" s="8">
        <f>VLOOKUP($C16,[1]Data!$C$3:$Z$86,Q$1, FALSE)</f>
        <v>236</v>
      </c>
      <c r="R16" s="8">
        <f>VLOOKUP($C16,[1]Data!$C$3:$Z$86,R$1, FALSE)</f>
        <v>-64</v>
      </c>
      <c r="S16" s="8">
        <f>VLOOKUP($C16,[1]Data!$C$3:$Z$86,S$1, FALSE)</f>
        <v>-52</v>
      </c>
      <c r="T16" s="8">
        <f>VLOOKUP($C16,[1]Data!$C$3:$Z$86,T$1, FALSE)</f>
        <v>-5</v>
      </c>
      <c r="U16" s="8">
        <f>VLOOKUP($C16,[1]Data!$C$3:$Z$86,U$1, FALSE)</f>
        <v>0</v>
      </c>
      <c r="V16" s="8">
        <f>VLOOKUP($C16,[1]Data!$C$3:$Z$86,V$1, FALSE)</f>
        <v>0</v>
      </c>
      <c r="W16" s="8">
        <f>VLOOKUP($C16,[1]Data!$C$3:$Z$86,W$1, FALSE)</f>
        <v>0</v>
      </c>
      <c r="X16" s="8">
        <f>VLOOKUP($C16,[1]Data!$C$3:$Z$86,X$1, FALSE)</f>
        <v>0</v>
      </c>
      <c r="Y16" s="8">
        <f>VLOOKUP($C16,[1]Data!$C$3:$Z$86,Y$1, FALSE)</f>
        <v>0</v>
      </c>
      <c r="Z16" s="8">
        <f>VLOOKUP($C16,[1]Data!$C$3:$Z$86,Z$1, FALSE)</f>
        <v>0</v>
      </c>
      <c r="AA16" s="8">
        <f>VLOOKUP($C16,[1]Data!$C$3:$Z$86,AA$1, FALSE)</f>
        <v>0</v>
      </c>
      <c r="AB16" s="8">
        <f>VLOOKUP($C16,[1]Data!$C$3:$Z$86,AB$1, FALSE)</f>
        <v>0</v>
      </c>
      <c r="AC16" s="8">
        <f>VLOOKUP($C16,[1]Data!$C$3:$Z$86,AC$1, FALSE)</f>
        <v>0</v>
      </c>
      <c r="AE16" s="8">
        <f t="shared" si="33"/>
        <v>19</v>
      </c>
      <c r="AF16" s="8">
        <f t="shared" si="33"/>
        <v>3</v>
      </c>
      <c r="AG16" s="8">
        <f t="shared" si="33"/>
        <v>21</v>
      </c>
      <c r="AH16" s="8">
        <f t="shared" si="33"/>
        <v>14</v>
      </c>
      <c r="AI16" s="8">
        <f t="shared" si="33"/>
        <v>4</v>
      </c>
      <c r="AJ16" s="8">
        <f t="shared" si="33"/>
        <v>22</v>
      </c>
      <c r="AK16" s="8">
        <f t="shared" si="33"/>
        <v>17</v>
      </c>
      <c r="AL16" s="8">
        <f t="shared" si="33"/>
        <v>16</v>
      </c>
      <c r="AM16" s="8">
        <f t="shared" si="33"/>
        <v>22</v>
      </c>
      <c r="AN16" s="8">
        <f t="shared" si="33"/>
        <v>1</v>
      </c>
      <c r="AO16" s="8">
        <f t="shared" si="33"/>
        <v>2</v>
      </c>
      <c r="AP16" s="8">
        <f t="shared" si="33"/>
        <v>20</v>
      </c>
      <c r="AQ16" s="8">
        <f t="shared" si="33"/>
        <v>18</v>
      </c>
      <c r="AR16" s="8">
        <f t="shared" si="33"/>
        <v>14</v>
      </c>
      <c r="AS16" s="8">
        <f t="shared" si="33"/>
        <v>5</v>
      </c>
      <c r="AT16" s="8">
        <f t="shared" si="33"/>
        <v>5</v>
      </c>
      <c r="AU16" s="8">
        <f t="shared" si="34"/>
        <v>5</v>
      </c>
      <c r="AV16" s="8">
        <f t="shared" si="34"/>
        <v>5</v>
      </c>
      <c r="AW16" s="8">
        <f t="shared" si="34"/>
        <v>5</v>
      </c>
      <c r="AX16" s="8">
        <f t="shared" si="34"/>
        <v>5</v>
      </c>
      <c r="AY16" s="8">
        <f t="shared" si="34"/>
        <v>5</v>
      </c>
      <c r="AZ16" s="8">
        <f t="shared" si="34"/>
        <v>5</v>
      </c>
      <c r="BA16" s="8">
        <f t="shared" si="34"/>
        <v>5</v>
      </c>
      <c r="BC16" s="8">
        <f>G16</f>
        <v>-53</v>
      </c>
      <c r="BD16" s="8">
        <f t="shared" si="3"/>
        <v>75</v>
      </c>
      <c r="BE16" s="8">
        <f>I16</f>
        <v>-68</v>
      </c>
      <c r="BF16" s="8">
        <f t="shared" si="5"/>
        <v>-5</v>
      </c>
      <c r="BG16" s="8">
        <f t="shared" si="6"/>
        <v>42</v>
      </c>
      <c r="BH16" s="8">
        <f>L16</f>
        <v>-70</v>
      </c>
      <c r="BI16" s="8">
        <f>M16</f>
        <v>-48</v>
      </c>
      <c r="BJ16" s="8">
        <f>N16</f>
        <v>-35</v>
      </c>
      <c r="BK16" s="8">
        <f>O16</f>
        <v>-70</v>
      </c>
      <c r="BL16" s="8">
        <f t="shared" si="11"/>
        <v>254</v>
      </c>
      <c r="BM16" s="8">
        <f t="shared" si="12"/>
        <v>236</v>
      </c>
      <c r="BN16" s="8">
        <f>R16</f>
        <v>-64</v>
      </c>
      <c r="BO16" s="8">
        <f>S16</f>
        <v>-52</v>
      </c>
      <c r="BP16" s="8">
        <f t="shared" si="15"/>
        <v>-5</v>
      </c>
      <c r="BQ16" s="8" t="str">
        <f t="shared" si="16"/>
        <v/>
      </c>
      <c r="BR16" s="8" t="str">
        <f t="shared" si="17"/>
        <v/>
      </c>
      <c r="BS16" s="8" t="str">
        <f t="shared" si="18"/>
        <v/>
      </c>
      <c r="BT16" s="8" t="str">
        <f t="shared" si="19"/>
        <v/>
      </c>
      <c r="BU16" s="8" t="str">
        <f t="shared" si="20"/>
        <v/>
      </c>
      <c r="BV16" s="8" t="str">
        <f t="shared" si="21"/>
        <v/>
      </c>
      <c r="BW16" s="8" t="str">
        <f t="shared" si="22"/>
        <v/>
      </c>
      <c r="BX16" s="8" t="str">
        <f t="shared" si="23"/>
        <v/>
      </c>
      <c r="BY16" s="8" t="str">
        <f t="shared" si="24"/>
        <v/>
      </c>
      <c r="BZ16" s="8">
        <f>BC16</f>
        <v>-53</v>
      </c>
      <c r="CA16" s="8">
        <f t="shared" si="55"/>
        <v>75</v>
      </c>
      <c r="CB16" s="8">
        <f t="shared" si="55"/>
        <v>-68</v>
      </c>
      <c r="CC16" s="8">
        <f t="shared" si="55"/>
        <v>-5</v>
      </c>
      <c r="CD16" s="8">
        <f t="shared" si="55"/>
        <v>42</v>
      </c>
      <c r="CE16" s="8">
        <f t="shared" si="55"/>
        <v>-70</v>
      </c>
      <c r="CF16" s="8">
        <f t="shared" si="55"/>
        <v>-48</v>
      </c>
      <c r="CG16" s="8">
        <f t="shared" si="55"/>
        <v>-35</v>
      </c>
      <c r="CH16" s="8">
        <f t="shared" si="55"/>
        <v>-70</v>
      </c>
      <c r="CI16" s="8">
        <f t="shared" ref="CI16:CM16" si="56">BL16</f>
        <v>254</v>
      </c>
      <c r="CJ16" s="8">
        <f t="shared" si="56"/>
        <v>236</v>
      </c>
      <c r="CK16" s="8">
        <f t="shared" si="56"/>
        <v>-64</v>
      </c>
      <c r="CL16" s="8">
        <f t="shared" si="56"/>
        <v>-52</v>
      </c>
      <c r="CM16" s="8">
        <f t="shared" si="56"/>
        <v>-5</v>
      </c>
      <c r="CO16" s="8" t="str">
        <f t="shared" si="36"/>
        <v>Wawrinka</v>
      </c>
      <c r="CP16" s="4">
        <f t="shared" si="43"/>
        <v>-60.772117244636419</v>
      </c>
      <c r="CQ16" s="4">
        <f t="shared" si="37"/>
        <v>67.227882755363581</v>
      </c>
      <c r="CR16" s="4">
        <f t="shared" si="37"/>
        <v>-75.772117244636419</v>
      </c>
      <c r="CS16" s="4">
        <f t="shared" si="37"/>
        <v>-12.772117244636423</v>
      </c>
      <c r="CT16" s="4">
        <f t="shared" si="37"/>
        <v>34.227882755363581</v>
      </c>
      <c r="CU16" s="4">
        <f t="shared" si="37"/>
        <v>-77.772117244636419</v>
      </c>
      <c r="CV16" s="4">
        <f t="shared" si="37"/>
        <v>-55.772117244636419</v>
      </c>
      <c r="CW16" s="4">
        <f t="shared" si="37"/>
        <v>-42.772117244636419</v>
      </c>
      <c r="CX16" s="4">
        <f t="shared" si="37"/>
        <v>-77.772117244636419</v>
      </c>
      <c r="CY16" s="4">
        <f t="shared" si="37"/>
        <v>246.22788275536357</v>
      </c>
      <c r="CZ16" s="4">
        <f t="shared" si="37"/>
        <v>228.22788275536357</v>
      </c>
      <c r="DA16" s="4">
        <f t="shared" si="37"/>
        <v>-71.772117244636419</v>
      </c>
      <c r="DB16" s="4">
        <f t="shared" si="37"/>
        <v>-59.772117244636419</v>
      </c>
      <c r="DC16" s="4">
        <f t="shared" si="37"/>
        <v>-12.772117244636423</v>
      </c>
      <c r="DD16" s="4"/>
      <c r="DE16" s="8">
        <f>VLOOKUP(B16,[1]Ranking!$C$3:$BM$19, 34, FALSE)</f>
        <v>53</v>
      </c>
      <c r="DF16" s="4">
        <f>VLOOKUP(B16,[1]Ranking!$C$3:$BM$19, 63, FALSE)</f>
        <v>-411.92221396573041</v>
      </c>
      <c r="DG16" s="4">
        <f t="shared" si="38"/>
        <v>-7.7721172446364228</v>
      </c>
    </row>
    <row r="17" spans="1:143" x14ac:dyDescent="0.3">
      <c r="A17" s="8">
        <v>15</v>
      </c>
      <c r="B17" s="8" t="str">
        <f>VLOOKUP(A17,[1]Ranking!$Y$3:$AA$19, 3, FALSE)</f>
        <v>Vilas</v>
      </c>
      <c r="C17" s="8" t="s">
        <v>35</v>
      </c>
      <c r="D17" s="3">
        <f t="shared" ca="1" si="31"/>
        <v>0.66174227110542716</v>
      </c>
      <c r="E17" s="8">
        <f t="shared" ca="1" si="32"/>
        <v>4</v>
      </c>
      <c r="F17" s="8" t="str">
        <f t="shared" si="39"/>
        <v>Vilas</v>
      </c>
      <c r="G17" s="8">
        <f>VLOOKUP($C17,[1]Data!$C$3:$Z$86,G$1, FALSE)</f>
        <v>-99</v>
      </c>
      <c r="H17" s="8">
        <f>VLOOKUP($C17,[1]Data!$C$3:$Z$86,H$1, FALSE)</f>
        <v>0</v>
      </c>
      <c r="I17" s="8">
        <f>VLOOKUP($C17,[1]Data!$C$3:$Z$86,I$1, FALSE)</f>
        <v>-26</v>
      </c>
      <c r="J17" s="8">
        <f>VLOOKUP($C17,[1]Data!$C$3:$Z$86,J$1, FALSE)</f>
        <v>0</v>
      </c>
      <c r="K17" s="8">
        <f>VLOOKUP($C17,[1]Data!$C$3:$Z$86,K$1, FALSE)</f>
        <v>80</v>
      </c>
      <c r="L17" s="8">
        <f>VLOOKUP($C17,[1]Data!$C$3:$Z$86,L$1, FALSE)</f>
        <v>122</v>
      </c>
      <c r="M17" s="8">
        <f>VLOOKUP($C17,[1]Data!$C$3:$Z$86,M$1, FALSE)</f>
        <v>185</v>
      </c>
      <c r="N17" s="8">
        <f>VLOOKUP($C17,[1]Data!$C$3:$Z$86,N$1, FALSE)</f>
        <v>31</v>
      </c>
      <c r="O17" s="8">
        <f>VLOOKUP($C17,[1]Data!$C$3:$Z$86,O$1, FALSE)</f>
        <v>19</v>
      </c>
      <c r="P17" s="8">
        <f>VLOOKUP($C17,[1]Data!$C$3:$Z$86,P$1, FALSE)</f>
        <v>-45</v>
      </c>
      <c r="Q17" s="8">
        <f>VLOOKUP($C17,[1]Data!$C$3:$Z$86,Q$1, FALSE)</f>
        <v>0</v>
      </c>
      <c r="R17" s="8">
        <f>VLOOKUP($C17,[1]Data!$C$3:$Z$86,R$1, FALSE)</f>
        <v>-58</v>
      </c>
      <c r="S17" s="8">
        <f>VLOOKUP($C17,[1]Data!$C$3:$Z$86,S$1, FALSE)</f>
        <v>0</v>
      </c>
      <c r="T17" s="8">
        <f>VLOOKUP($C17,[1]Data!$C$3:$Z$86,T$1, FALSE)</f>
        <v>-82</v>
      </c>
      <c r="U17" s="8">
        <f>VLOOKUP($C17,[1]Data!$C$3:$Z$86,U$1, FALSE)</f>
        <v>0</v>
      </c>
      <c r="V17" s="8">
        <f>VLOOKUP($C17,[1]Data!$C$3:$Z$86,V$1, FALSE)</f>
        <v>0</v>
      </c>
      <c r="W17" s="8">
        <f>VLOOKUP($C17,[1]Data!$C$3:$Z$86,W$1, FALSE)</f>
        <v>-99</v>
      </c>
      <c r="X17" s="8">
        <f>VLOOKUP($C17,[1]Data!$C$3:$Z$86,X$1, FALSE)</f>
        <v>0</v>
      </c>
      <c r="Y17" s="8">
        <f>VLOOKUP($C17,[1]Data!$C$3:$Z$86,Y$1, FALSE)</f>
        <v>0</v>
      </c>
      <c r="Z17" s="8">
        <f>VLOOKUP($C17,[1]Data!$C$3:$Z$86,Z$1, FALSE)</f>
        <v>0</v>
      </c>
      <c r="AA17" s="8">
        <f>VLOOKUP($C17,[1]Data!$C$3:$Z$86,AA$1, FALSE)</f>
        <v>0</v>
      </c>
      <c r="AB17" s="8">
        <f>VLOOKUP($C17,[1]Data!$C$3:$Z$86,AB$1, FALSE)</f>
        <v>0</v>
      </c>
      <c r="AC17" s="8">
        <f>VLOOKUP($C17,[1]Data!$C$3:$Z$86,AC$1, FALSE)</f>
        <v>0</v>
      </c>
      <c r="AE17" s="8">
        <f t="shared" si="33"/>
        <v>22</v>
      </c>
      <c r="AF17" s="8">
        <f t="shared" si="33"/>
        <v>6</v>
      </c>
      <c r="AG17" s="8">
        <f t="shared" si="33"/>
        <v>18</v>
      </c>
      <c r="AH17" s="8">
        <f t="shared" si="33"/>
        <v>6</v>
      </c>
      <c r="AI17" s="8">
        <f t="shared" si="33"/>
        <v>3</v>
      </c>
      <c r="AJ17" s="8">
        <f t="shared" si="33"/>
        <v>2</v>
      </c>
      <c r="AK17" s="8">
        <f t="shared" si="33"/>
        <v>1</v>
      </c>
      <c r="AL17" s="8">
        <f t="shared" si="33"/>
        <v>4</v>
      </c>
      <c r="AM17" s="8">
        <f t="shared" si="33"/>
        <v>5</v>
      </c>
      <c r="AN17" s="8">
        <f t="shared" si="33"/>
        <v>19</v>
      </c>
      <c r="AO17" s="8">
        <f t="shared" si="33"/>
        <v>6</v>
      </c>
      <c r="AP17" s="8">
        <f t="shared" si="33"/>
        <v>20</v>
      </c>
      <c r="AQ17" s="8">
        <f t="shared" si="33"/>
        <v>6</v>
      </c>
      <c r="AR17" s="8">
        <f t="shared" si="33"/>
        <v>21</v>
      </c>
      <c r="AS17" s="8">
        <f t="shared" si="33"/>
        <v>6</v>
      </c>
      <c r="AT17" s="8">
        <f t="shared" si="33"/>
        <v>6</v>
      </c>
      <c r="AU17" s="8">
        <f t="shared" si="34"/>
        <v>22</v>
      </c>
      <c r="AV17" s="8">
        <f t="shared" si="34"/>
        <v>6</v>
      </c>
      <c r="AW17" s="8">
        <f t="shared" si="34"/>
        <v>6</v>
      </c>
      <c r="AX17" s="8">
        <f t="shared" si="34"/>
        <v>6</v>
      </c>
      <c r="AY17" s="8">
        <f t="shared" si="34"/>
        <v>6</v>
      </c>
      <c r="AZ17" s="8">
        <f t="shared" si="34"/>
        <v>6</v>
      </c>
      <c r="BA17" s="8">
        <f t="shared" si="34"/>
        <v>6</v>
      </c>
      <c r="BC17" s="8">
        <f>G17</f>
        <v>-99</v>
      </c>
      <c r="BD17" s="8" t="str">
        <f t="shared" si="3"/>
        <v/>
      </c>
      <c r="BE17" s="8">
        <f>I17</f>
        <v>-26</v>
      </c>
      <c r="BF17" s="8" t="str">
        <f t="shared" si="5"/>
        <v/>
      </c>
      <c r="BG17" s="8">
        <f t="shared" si="6"/>
        <v>80</v>
      </c>
      <c r="BH17" s="8">
        <f t="shared" si="7"/>
        <v>122</v>
      </c>
      <c r="BI17" s="8">
        <f t="shared" si="8"/>
        <v>185</v>
      </c>
      <c r="BJ17" s="8">
        <f t="shared" si="9"/>
        <v>31</v>
      </c>
      <c r="BK17" s="8">
        <f t="shared" si="10"/>
        <v>19</v>
      </c>
      <c r="BL17" s="8">
        <f>P17</f>
        <v>-45</v>
      </c>
      <c r="BM17" s="8" t="str">
        <f t="shared" si="12"/>
        <v/>
      </c>
      <c r="BN17" s="8">
        <f>R17</f>
        <v>-58</v>
      </c>
      <c r="BO17" s="8" t="str">
        <f t="shared" si="14"/>
        <v/>
      </c>
      <c r="BP17" s="8">
        <f>T17</f>
        <v>-82</v>
      </c>
      <c r="BQ17" s="8" t="str">
        <f t="shared" si="16"/>
        <v/>
      </c>
      <c r="BR17" s="8" t="str">
        <f t="shared" si="17"/>
        <v/>
      </c>
      <c r="BS17" s="8">
        <f>W17</f>
        <v>-99</v>
      </c>
      <c r="BT17" s="8" t="str">
        <f t="shared" si="19"/>
        <v/>
      </c>
      <c r="BU17" s="8" t="str">
        <f t="shared" si="20"/>
        <v/>
      </c>
      <c r="BV17" s="8" t="str">
        <f t="shared" si="21"/>
        <v/>
      </c>
      <c r="BW17" s="8" t="str">
        <f t="shared" si="22"/>
        <v/>
      </c>
      <c r="BX17" s="8" t="str">
        <f t="shared" si="23"/>
        <v/>
      </c>
      <c r="BY17" s="8" t="str">
        <f t="shared" si="24"/>
        <v/>
      </c>
      <c r="BZ17" s="8">
        <f>BC17</f>
        <v>-99</v>
      </c>
      <c r="CA17" s="8">
        <f>BE17</f>
        <v>-26</v>
      </c>
      <c r="CB17" s="8">
        <f>BG17</f>
        <v>80</v>
      </c>
      <c r="CC17" s="8">
        <f t="shared" ref="CC17:CG17" si="57">BH17</f>
        <v>122</v>
      </c>
      <c r="CD17" s="8">
        <f t="shared" si="57"/>
        <v>185</v>
      </c>
      <c r="CE17" s="8">
        <f t="shared" si="57"/>
        <v>31</v>
      </c>
      <c r="CF17" s="8">
        <f t="shared" si="57"/>
        <v>19</v>
      </c>
      <c r="CG17" s="8">
        <f t="shared" si="57"/>
        <v>-45</v>
      </c>
      <c r="CH17" s="8">
        <f>BN17</f>
        <v>-58</v>
      </c>
      <c r="CI17" s="8">
        <f>BP17</f>
        <v>-82</v>
      </c>
      <c r="CJ17" s="8">
        <f>BS17</f>
        <v>-99</v>
      </c>
      <c r="CO17" s="8" t="str">
        <f t="shared" si="36"/>
        <v>Vilas</v>
      </c>
      <c r="CP17" s="4">
        <f t="shared" si="43"/>
        <v>-87.83778207798612</v>
      </c>
      <c r="CQ17" s="4">
        <f t="shared" si="37"/>
        <v>-14.837782077986123</v>
      </c>
      <c r="CR17" s="4">
        <f t="shared" si="37"/>
        <v>91.16221792201388</v>
      </c>
      <c r="CS17" s="4">
        <f t="shared" si="37"/>
        <v>133.16221792201387</v>
      </c>
      <c r="CT17" s="4">
        <f t="shared" si="37"/>
        <v>196.16221792201387</v>
      </c>
      <c r="CU17" s="4">
        <f t="shared" si="37"/>
        <v>42.16221792201388</v>
      </c>
      <c r="CV17" s="4">
        <f t="shared" si="37"/>
        <v>30.162217922013877</v>
      </c>
      <c r="CW17" s="4">
        <f t="shared" si="37"/>
        <v>-33.83778207798612</v>
      </c>
      <c r="CX17" s="4">
        <f t="shared" si="37"/>
        <v>-46.83778207798612</v>
      </c>
      <c r="CY17" s="4">
        <f t="shared" si="37"/>
        <v>-70.83778207798612</v>
      </c>
      <c r="CZ17" s="4">
        <f t="shared" si="37"/>
        <v>-87.83778207798612</v>
      </c>
      <c r="DA17" s="4"/>
      <c r="DB17" s="4"/>
      <c r="DC17" s="4"/>
      <c r="DD17" s="4"/>
      <c r="DE17" s="8">
        <f>VLOOKUP(B17,[1]Ranking!$C$3:$BM$19, 34, FALSE)</f>
        <v>49</v>
      </c>
      <c r="DF17" s="4">
        <f>VLOOKUP(B17,[1]Ranking!$C$3:$BM$19, 63, FALSE)</f>
        <v>546.94867817867998</v>
      </c>
      <c r="DG17" s="4">
        <f t="shared" si="38"/>
        <v>11.162217922013877</v>
      </c>
    </row>
    <row r="18" spans="1:143" x14ac:dyDescent="0.3">
      <c r="A18" s="8">
        <v>16</v>
      </c>
      <c r="B18" s="8" t="str">
        <f>VLOOKUP(A18,[1]Ranking!$Y$3:$AA$19, 3, FALSE)</f>
        <v>Courier</v>
      </c>
      <c r="C18" s="8" t="s">
        <v>36</v>
      </c>
      <c r="D18" s="3">
        <f t="shared" ca="1" si="31"/>
        <v>0.39156428523043352</v>
      </c>
      <c r="E18" s="8">
        <f t="shared" ca="1" si="32"/>
        <v>7</v>
      </c>
      <c r="F18" s="8" t="str">
        <f t="shared" si="39"/>
        <v>Courier</v>
      </c>
      <c r="G18" s="8">
        <f>VLOOKUP($C18,[1]Data!$C$3:$Z$86,G$1, FALSE)</f>
        <v>0</v>
      </c>
      <c r="H18" s="8">
        <f>VLOOKUP($C18,[1]Data!$C$3:$Z$86,H$1, FALSE)</f>
        <v>-52</v>
      </c>
      <c r="I18" s="8">
        <f>VLOOKUP($C18,[1]Data!$C$3:$Z$86,I$1, FALSE)</f>
        <v>-97</v>
      </c>
      <c r="J18" s="8">
        <f>VLOOKUP($C18,[1]Data!$C$3:$Z$86,J$1, FALSE)</f>
        <v>113</v>
      </c>
      <c r="K18" s="8">
        <f>VLOOKUP($C18,[1]Data!$C$3:$Z$86,K$1, FALSE)</f>
        <v>-57</v>
      </c>
      <c r="L18" s="8">
        <f>VLOOKUP($C18,[1]Data!$C$3:$Z$86,L$1, FALSE)</f>
        <v>343</v>
      </c>
      <c r="M18" s="8">
        <f>VLOOKUP($C18,[1]Data!$C$3:$Z$86,M$1, FALSE)</f>
        <v>-78</v>
      </c>
      <c r="N18" s="8">
        <f>VLOOKUP($C18,[1]Data!$C$3:$Z$86,N$1, FALSE)</f>
        <v>-57</v>
      </c>
      <c r="O18" s="8">
        <f>VLOOKUP($C18,[1]Data!$C$3:$Z$86,O$1, FALSE)</f>
        <v>-99</v>
      </c>
      <c r="P18" s="8">
        <f>VLOOKUP($C18,[1]Data!$C$3:$Z$86,P$1, FALSE)</f>
        <v>-88</v>
      </c>
      <c r="Q18" s="8">
        <f>VLOOKUP($C18,[1]Data!$C$3:$Z$86,Q$1, FALSE)</f>
        <v>-41</v>
      </c>
      <c r="R18" s="8">
        <f>VLOOKUP($C18,[1]Data!$C$3:$Z$86,R$1, FALSE)</f>
        <v>133</v>
      </c>
      <c r="S18" s="8">
        <f>VLOOKUP($C18,[1]Data!$C$3:$Z$86,S$1, FALSE)</f>
        <v>0</v>
      </c>
      <c r="T18" s="8">
        <f>VLOOKUP($C18,[1]Data!$C$3:$Z$86,T$1, FALSE)</f>
        <v>0</v>
      </c>
      <c r="U18" s="8">
        <f>VLOOKUP($C18,[1]Data!$C$3:$Z$86,U$1, FALSE)</f>
        <v>0</v>
      </c>
      <c r="V18" s="8">
        <f>VLOOKUP($C18,[1]Data!$C$3:$Z$86,V$1, FALSE)</f>
        <v>0</v>
      </c>
      <c r="W18" s="8">
        <f>VLOOKUP($C18,[1]Data!$C$3:$Z$86,W$1, FALSE)</f>
        <v>0</v>
      </c>
      <c r="X18" s="8">
        <f>VLOOKUP($C18,[1]Data!$C$3:$Z$86,X$1, FALSE)</f>
        <v>0</v>
      </c>
      <c r="Y18" s="8">
        <f>VLOOKUP($C18,[1]Data!$C$3:$Z$86,Y$1, FALSE)</f>
        <v>0</v>
      </c>
      <c r="Z18" s="8">
        <f>VLOOKUP($C18,[1]Data!$C$3:$Z$86,Z$1, FALSE)</f>
        <v>0</v>
      </c>
      <c r="AA18" s="8">
        <f>VLOOKUP($C18,[1]Data!$C$3:$Z$86,AA$1, FALSE)</f>
        <v>0</v>
      </c>
      <c r="AB18" s="8">
        <f>VLOOKUP($C18,[1]Data!$C$3:$Z$86,AB$1, FALSE)</f>
        <v>0</v>
      </c>
      <c r="AC18" s="8">
        <f>VLOOKUP($C18,[1]Data!$C$3:$Z$86,AC$1, FALSE)</f>
        <v>0</v>
      </c>
      <c r="AE18" s="8">
        <f t="shared" si="33"/>
        <v>4</v>
      </c>
      <c r="AF18" s="8">
        <f t="shared" si="33"/>
        <v>17</v>
      </c>
      <c r="AG18" s="8">
        <f t="shared" si="33"/>
        <v>22</v>
      </c>
      <c r="AH18" s="8">
        <f t="shared" si="33"/>
        <v>3</v>
      </c>
      <c r="AI18" s="8">
        <f t="shared" si="33"/>
        <v>18</v>
      </c>
      <c r="AJ18" s="8">
        <f t="shared" si="33"/>
        <v>1</v>
      </c>
      <c r="AK18" s="8">
        <f t="shared" si="33"/>
        <v>20</v>
      </c>
      <c r="AL18" s="8">
        <f t="shared" si="33"/>
        <v>18</v>
      </c>
      <c r="AM18" s="8">
        <f t="shared" si="33"/>
        <v>23</v>
      </c>
      <c r="AN18" s="8">
        <f t="shared" si="33"/>
        <v>21</v>
      </c>
      <c r="AO18" s="8">
        <f t="shared" si="33"/>
        <v>16</v>
      </c>
      <c r="AP18" s="8">
        <f t="shared" si="33"/>
        <v>2</v>
      </c>
      <c r="AQ18" s="8">
        <f t="shared" si="33"/>
        <v>4</v>
      </c>
      <c r="AR18" s="8">
        <f t="shared" si="33"/>
        <v>4</v>
      </c>
      <c r="AS18" s="8">
        <f t="shared" si="33"/>
        <v>4</v>
      </c>
      <c r="AT18" s="8">
        <f t="shared" si="33"/>
        <v>4</v>
      </c>
      <c r="AU18" s="8">
        <f t="shared" si="34"/>
        <v>4</v>
      </c>
      <c r="AV18" s="8">
        <f t="shared" si="34"/>
        <v>4</v>
      </c>
      <c r="AW18" s="8">
        <f t="shared" si="34"/>
        <v>4</v>
      </c>
      <c r="AX18" s="8">
        <f t="shared" si="34"/>
        <v>4</v>
      </c>
      <c r="AY18" s="8">
        <f t="shared" si="34"/>
        <v>4</v>
      </c>
      <c r="AZ18" s="8">
        <f t="shared" si="34"/>
        <v>4</v>
      </c>
      <c r="BA18" s="8">
        <f t="shared" si="34"/>
        <v>4</v>
      </c>
      <c r="BC18" s="8" t="str">
        <f t="shared" si="2"/>
        <v/>
      </c>
      <c r="BD18" s="8">
        <f>H18</f>
        <v>-52</v>
      </c>
      <c r="BE18" s="8">
        <f>I18</f>
        <v>-97</v>
      </c>
      <c r="BF18" s="8">
        <f t="shared" si="5"/>
        <v>113</v>
      </c>
      <c r="BG18" s="8">
        <f>K18</f>
        <v>-57</v>
      </c>
      <c r="BH18" s="8">
        <f t="shared" si="7"/>
        <v>343</v>
      </c>
      <c r="BI18" s="8">
        <f>M18</f>
        <v>-78</v>
      </c>
      <c r="BJ18" s="8">
        <f>N18</f>
        <v>-57</v>
      </c>
      <c r="BK18" s="8">
        <f>O18</f>
        <v>-99</v>
      </c>
      <c r="BL18" s="8">
        <f>P18</f>
        <v>-88</v>
      </c>
      <c r="BM18" s="8">
        <f>Q18</f>
        <v>-41</v>
      </c>
      <c r="BN18" s="8">
        <f t="shared" si="13"/>
        <v>133</v>
      </c>
      <c r="BO18" s="8" t="str">
        <f t="shared" si="14"/>
        <v/>
      </c>
      <c r="BP18" s="8" t="str">
        <f t="shared" si="15"/>
        <v/>
      </c>
      <c r="BQ18" s="8" t="str">
        <f t="shared" si="16"/>
        <v/>
      </c>
      <c r="BR18" s="8" t="str">
        <f t="shared" si="17"/>
        <v/>
      </c>
      <c r="BS18" s="8" t="str">
        <f t="shared" si="18"/>
        <v/>
      </c>
      <c r="BT18" s="8" t="str">
        <f t="shared" si="19"/>
        <v/>
      </c>
      <c r="BU18" s="8" t="str">
        <f t="shared" si="20"/>
        <v/>
      </c>
      <c r="BV18" s="8" t="str">
        <f t="shared" si="21"/>
        <v/>
      </c>
      <c r="BW18" s="8" t="str">
        <f t="shared" si="22"/>
        <v/>
      </c>
      <c r="BX18" s="8" t="str">
        <f t="shared" si="23"/>
        <v/>
      </c>
      <c r="BY18" s="8" t="str">
        <f t="shared" si="24"/>
        <v/>
      </c>
      <c r="BZ18" s="8">
        <f>BD18</f>
        <v>-52</v>
      </c>
      <c r="CA18" s="8">
        <f t="shared" ref="CA18:CJ18" si="58">BE18</f>
        <v>-97</v>
      </c>
      <c r="CB18" s="8">
        <f t="shared" si="58"/>
        <v>113</v>
      </c>
      <c r="CC18" s="8">
        <f t="shared" si="58"/>
        <v>-57</v>
      </c>
      <c r="CD18" s="8">
        <f t="shared" si="58"/>
        <v>343</v>
      </c>
      <c r="CE18" s="8">
        <f t="shared" si="58"/>
        <v>-78</v>
      </c>
      <c r="CF18" s="8">
        <f t="shared" si="58"/>
        <v>-57</v>
      </c>
      <c r="CG18" s="8">
        <f t="shared" si="58"/>
        <v>-99</v>
      </c>
      <c r="CH18" s="8">
        <f t="shared" si="58"/>
        <v>-88</v>
      </c>
      <c r="CI18" s="8">
        <f t="shared" si="58"/>
        <v>-41</v>
      </c>
      <c r="CJ18" s="8">
        <f t="shared" si="58"/>
        <v>133</v>
      </c>
      <c r="CO18" s="8" t="str">
        <f t="shared" si="36"/>
        <v>Courier</v>
      </c>
      <c r="CP18" s="4">
        <f t="shared" si="43"/>
        <v>-40.837782077986112</v>
      </c>
      <c r="CQ18" s="4">
        <f t="shared" si="37"/>
        <v>-85.83778207798612</v>
      </c>
      <c r="CR18" s="4">
        <f t="shared" si="37"/>
        <v>124.16221792201388</v>
      </c>
      <c r="CS18" s="4">
        <f t="shared" si="37"/>
        <v>-45.837782077986112</v>
      </c>
      <c r="CT18" s="4">
        <f>CD18+$DG18</f>
        <v>354.16221792201389</v>
      </c>
      <c r="CU18" s="4">
        <f t="shared" si="37"/>
        <v>-66.83778207798612</v>
      </c>
      <c r="CV18" s="4">
        <f>CD18+$DG18</f>
        <v>354.16221792201389</v>
      </c>
      <c r="CW18" s="4">
        <f t="shared" si="37"/>
        <v>-87.83778207798612</v>
      </c>
      <c r="CX18" s="4">
        <f t="shared" si="37"/>
        <v>-76.83778207798612</v>
      </c>
      <c r="CY18" s="4">
        <f t="shared" si="37"/>
        <v>-29.837782077986112</v>
      </c>
      <c r="CZ18" s="4">
        <f t="shared" si="37"/>
        <v>144.16221792201389</v>
      </c>
      <c r="DA18" s="4"/>
      <c r="DB18" s="4"/>
      <c r="DC18" s="4"/>
      <c r="DD18" s="4"/>
      <c r="DE18" s="8">
        <f>VLOOKUP(B18,[1]Ranking!$C$3:$BM$19, 34, FALSE)</f>
        <v>42</v>
      </c>
      <c r="DF18" s="4">
        <f>VLOOKUP(B18,[1]Ranking!$C$3:$BM$19, 63, FALSE)</f>
        <v>468.81315272458323</v>
      </c>
      <c r="DG18" s="4">
        <f t="shared" si="38"/>
        <v>11.162217922013886</v>
      </c>
    </row>
    <row r="19" spans="1:143" x14ac:dyDescent="0.3">
      <c r="DH19" s="8">
        <v>2</v>
      </c>
      <c r="DI19" s="8">
        <v>3</v>
      </c>
      <c r="DJ19" s="8">
        <v>4</v>
      </c>
      <c r="DK19" s="8">
        <v>5</v>
      </c>
      <c r="DL19" s="8">
        <v>6</v>
      </c>
      <c r="DM19" s="8">
        <v>7</v>
      </c>
      <c r="DN19" s="8">
        <v>8</v>
      </c>
      <c r="DO19" s="8">
        <v>9</v>
      </c>
      <c r="DP19" s="8">
        <v>10</v>
      </c>
      <c r="DQ19" s="8">
        <v>11</v>
      </c>
      <c r="DR19" s="8">
        <v>12</v>
      </c>
      <c r="DS19" s="8">
        <v>13</v>
      </c>
      <c r="DT19" s="8">
        <v>14</v>
      </c>
      <c r="DU19" s="8">
        <v>15</v>
      </c>
      <c r="DV19" s="8">
        <v>16</v>
      </c>
    </row>
    <row r="20" spans="1:143" x14ac:dyDescent="0.3">
      <c r="DX20" s="8">
        <v>1</v>
      </c>
      <c r="DY20" s="8">
        <v>2</v>
      </c>
      <c r="DZ20" s="8">
        <v>3</v>
      </c>
      <c r="EA20" s="8">
        <v>4</v>
      </c>
      <c r="EB20" s="8">
        <v>5</v>
      </c>
      <c r="EC20" s="8">
        <v>6</v>
      </c>
      <c r="ED20" s="8">
        <v>7</v>
      </c>
      <c r="EE20" s="8">
        <v>8</v>
      </c>
      <c r="EF20" s="8">
        <v>9</v>
      </c>
      <c r="EG20" s="8">
        <v>10</v>
      </c>
      <c r="EH20" s="8">
        <v>11</v>
      </c>
      <c r="EI20" s="8">
        <v>12</v>
      </c>
      <c r="EJ20" s="8">
        <v>13</v>
      </c>
      <c r="EK20" s="8">
        <v>14</v>
      </c>
      <c r="EL20" s="8">
        <v>15</v>
      </c>
    </row>
    <row r="21" spans="1:143" x14ac:dyDescent="0.3">
      <c r="A21" s="8">
        <v>1</v>
      </c>
      <c r="B21" s="8" t="str">
        <f>VLOOKUP(A21,$A$2:$B$18, 2, FALSE)</f>
        <v>Federer</v>
      </c>
      <c r="DH21" s="8">
        <f t="shared" ref="DH21:DV36" si="59">VLOOKUP($B21,$CO$2:$DD$18,DH$19,FALSE)</f>
        <v>228.30287839006499</v>
      </c>
      <c r="DI21" s="8">
        <f t="shared" si="59"/>
        <v>461.30287839006496</v>
      </c>
      <c r="DJ21" s="8">
        <f t="shared" si="59"/>
        <v>366.30287839006496</v>
      </c>
      <c r="DK21" s="8">
        <f t="shared" si="59"/>
        <v>513.30287839006496</v>
      </c>
      <c r="DL21" s="8">
        <f t="shared" si="59"/>
        <v>472.30287839006496</v>
      </c>
      <c r="DM21" s="8">
        <f t="shared" si="59"/>
        <v>529.30287839006496</v>
      </c>
      <c r="DN21" s="8">
        <f t="shared" si="59"/>
        <v>291.30287839006496</v>
      </c>
      <c r="DO21" s="8">
        <f t="shared" si="59"/>
        <v>545.30287839006496</v>
      </c>
      <c r="DP21" s="8">
        <f t="shared" si="59"/>
        <v>230.30287839006499</v>
      </c>
      <c r="DQ21" s="8">
        <f t="shared" si="59"/>
        <v>498.30287839006496</v>
      </c>
      <c r="DR21" s="8">
        <f t="shared" si="59"/>
        <v>370.30287839006496</v>
      </c>
      <c r="DS21" s="8">
        <f t="shared" si="59"/>
        <v>395.30287839006496</v>
      </c>
      <c r="DT21" s="8">
        <f t="shared" si="59"/>
        <v>395.30287839006496</v>
      </c>
      <c r="DU21" s="8">
        <f t="shared" si="59"/>
        <v>227.30287839006499</v>
      </c>
      <c r="DV21" s="8">
        <f t="shared" si="59"/>
        <v>510.30287839006496</v>
      </c>
      <c r="DW21" s="8" t="str">
        <f>B21</f>
        <v>Federer</v>
      </c>
      <c r="DX21" s="8">
        <f t="shared" ref="DX21:EL36" si="60">IF(DH21=0, "",DH21)</f>
        <v>228.30287839006499</v>
      </c>
      <c r="DY21" s="8">
        <f t="shared" si="60"/>
        <v>461.30287839006496</v>
      </c>
      <c r="DZ21" s="8">
        <f t="shared" si="60"/>
        <v>366.30287839006496</v>
      </c>
      <c r="EA21" s="8">
        <f t="shared" si="60"/>
        <v>513.30287839006496</v>
      </c>
      <c r="EB21" s="8">
        <f t="shared" si="60"/>
        <v>472.30287839006496</v>
      </c>
      <c r="EC21" s="8">
        <f t="shared" si="60"/>
        <v>529.30287839006496</v>
      </c>
      <c r="ED21" s="8">
        <f t="shared" si="60"/>
        <v>291.30287839006496</v>
      </c>
      <c r="EE21" s="8">
        <f t="shared" si="60"/>
        <v>545.30287839006496</v>
      </c>
      <c r="EF21" s="8">
        <f t="shared" si="60"/>
        <v>230.30287839006499</v>
      </c>
      <c r="EG21" s="8">
        <f t="shared" si="60"/>
        <v>498.30287839006496</v>
      </c>
      <c r="EH21" s="8">
        <f t="shared" si="60"/>
        <v>370.30287839006496</v>
      </c>
      <c r="EI21" s="8">
        <f t="shared" si="60"/>
        <v>395.30287839006496</v>
      </c>
      <c r="EJ21" s="8">
        <f t="shared" si="60"/>
        <v>395.30287839006496</v>
      </c>
      <c r="EK21" s="8">
        <f t="shared" si="60"/>
        <v>227.30287839006499</v>
      </c>
      <c r="EL21" s="8">
        <f t="shared" si="60"/>
        <v>510.30287839006496</v>
      </c>
      <c r="EM21" s="8">
        <f t="shared" ref="EM21:EM36" si="61">COUNT(DX21:EL21)</f>
        <v>15</v>
      </c>
    </row>
    <row r="22" spans="1:143" x14ac:dyDescent="0.3">
      <c r="A22" s="6">
        <v>1</v>
      </c>
      <c r="B22" s="8" t="str">
        <f t="shared" ref="B22:B27" ca="1" si="62">VLOOKUP(A22,$E$2:$F$18, 2, FALSE)</f>
        <v>Wawrinka</v>
      </c>
      <c r="DH22" s="8">
        <f t="shared" ca="1" si="59"/>
        <v>-60.772117244636419</v>
      </c>
      <c r="DI22" s="8">
        <f t="shared" ca="1" si="59"/>
        <v>67.227882755363581</v>
      </c>
      <c r="DJ22" s="8">
        <f t="shared" ca="1" si="59"/>
        <v>-75.772117244636419</v>
      </c>
      <c r="DK22" s="8">
        <f t="shared" ca="1" si="59"/>
        <v>-12.772117244636423</v>
      </c>
      <c r="DL22" s="8">
        <f t="shared" ca="1" si="59"/>
        <v>34.227882755363581</v>
      </c>
      <c r="DM22" s="8">
        <f t="shared" ca="1" si="59"/>
        <v>-77.772117244636419</v>
      </c>
      <c r="DN22" s="8">
        <f t="shared" ca="1" si="59"/>
        <v>-55.772117244636419</v>
      </c>
      <c r="DO22" s="8">
        <f t="shared" ca="1" si="59"/>
        <v>-42.772117244636419</v>
      </c>
      <c r="DP22" s="8">
        <f t="shared" ca="1" si="59"/>
        <v>-77.772117244636419</v>
      </c>
      <c r="DQ22" s="8">
        <f t="shared" ca="1" si="59"/>
        <v>246.22788275536357</v>
      </c>
      <c r="DR22" s="8">
        <f t="shared" ca="1" si="59"/>
        <v>228.22788275536357</v>
      </c>
      <c r="DS22" s="8">
        <f t="shared" ca="1" si="59"/>
        <v>-71.772117244636419</v>
      </c>
      <c r="DT22" s="8">
        <f t="shared" ca="1" si="59"/>
        <v>-59.772117244636419</v>
      </c>
      <c r="DU22" s="8">
        <f t="shared" ca="1" si="59"/>
        <v>-12.772117244636423</v>
      </c>
      <c r="DV22" s="8">
        <f t="shared" ca="1" si="59"/>
        <v>0</v>
      </c>
      <c r="DW22" s="8" t="str">
        <f t="shared" ref="DW22:DW36" ca="1" si="63">B22</f>
        <v>Wawrinka</v>
      </c>
      <c r="DX22" s="8">
        <f t="shared" ca="1" si="60"/>
        <v>-60.772117244636419</v>
      </c>
      <c r="DY22" s="8">
        <f t="shared" ca="1" si="60"/>
        <v>67.227882755363581</v>
      </c>
      <c r="DZ22" s="8">
        <f t="shared" ca="1" si="60"/>
        <v>-75.772117244636419</v>
      </c>
      <c r="EA22" s="8">
        <f t="shared" ca="1" si="60"/>
        <v>-12.772117244636423</v>
      </c>
      <c r="EB22" s="8">
        <f t="shared" ca="1" si="60"/>
        <v>34.227882755363581</v>
      </c>
      <c r="EC22" s="8">
        <f t="shared" ca="1" si="60"/>
        <v>-77.772117244636419</v>
      </c>
      <c r="ED22" s="8">
        <f t="shared" ca="1" si="60"/>
        <v>-55.772117244636419</v>
      </c>
      <c r="EE22" s="8">
        <f t="shared" ca="1" si="60"/>
        <v>-42.772117244636419</v>
      </c>
      <c r="EF22" s="8">
        <f t="shared" ca="1" si="60"/>
        <v>-77.772117244636419</v>
      </c>
      <c r="EG22" s="8">
        <f t="shared" ca="1" si="60"/>
        <v>246.22788275536357</v>
      </c>
      <c r="EH22" s="8">
        <f t="shared" ca="1" si="60"/>
        <v>228.22788275536357</v>
      </c>
      <c r="EI22" s="8">
        <f t="shared" ca="1" si="60"/>
        <v>-71.772117244636419</v>
      </c>
      <c r="EJ22" s="8">
        <f t="shared" ca="1" si="60"/>
        <v>-59.772117244636419</v>
      </c>
      <c r="EK22" s="8">
        <f t="shared" ca="1" si="60"/>
        <v>-12.772117244636423</v>
      </c>
      <c r="EL22" s="8" t="str">
        <f t="shared" ca="1" si="60"/>
        <v/>
      </c>
      <c r="EM22" s="8">
        <f t="shared" ca="1" si="61"/>
        <v>14</v>
      </c>
    </row>
    <row r="23" spans="1:143" x14ac:dyDescent="0.3">
      <c r="A23" s="6">
        <v>2</v>
      </c>
      <c r="B23" s="8" t="str">
        <f t="shared" ca="1" si="62"/>
        <v>Nadal</v>
      </c>
      <c r="DH23" s="8">
        <f t="shared" ca="1" si="59"/>
        <v>7.2278827553635772</v>
      </c>
      <c r="DI23" s="8">
        <f t="shared" ca="1" si="59"/>
        <v>-15.772117244636423</v>
      </c>
      <c r="DJ23" s="8">
        <f t="shared" ca="1" si="59"/>
        <v>-15.772117244636423</v>
      </c>
      <c r="DK23" s="8">
        <f t="shared" ca="1" si="59"/>
        <v>458.22788275536357</v>
      </c>
      <c r="DL23" s="8">
        <f t="shared" ca="1" si="59"/>
        <v>444.22788275536357</v>
      </c>
      <c r="DM23" s="8">
        <f t="shared" ca="1" si="59"/>
        <v>423.22788275536357</v>
      </c>
      <c r="DN23" s="8">
        <f t="shared" ca="1" si="59"/>
        <v>324.22788275536357</v>
      </c>
      <c r="DO23" s="8">
        <f t="shared" ca="1" si="59"/>
        <v>-86.772117244636419</v>
      </c>
      <c r="DP23" s="8">
        <f t="shared" ca="1" si="59"/>
        <v>-106.77211724463642</v>
      </c>
      <c r="DQ23" s="8">
        <f t="shared" ca="1" si="59"/>
        <v>27.227882755363577</v>
      </c>
      <c r="DR23" s="8">
        <f t="shared" ca="1" si="59"/>
        <v>-48.772117244636419</v>
      </c>
      <c r="DS23" s="8">
        <f t="shared" ca="1" si="59"/>
        <v>104.22788275536358</v>
      </c>
      <c r="DT23" s="8">
        <f t="shared" ca="1" si="59"/>
        <v>146.22788275536357</v>
      </c>
      <c r="DU23" s="8">
        <f t="shared" ca="1" si="59"/>
        <v>0</v>
      </c>
      <c r="DV23" s="8">
        <f t="shared" ca="1" si="59"/>
        <v>0</v>
      </c>
      <c r="DW23" s="8" t="str">
        <f t="shared" ca="1" si="63"/>
        <v>Nadal</v>
      </c>
      <c r="DX23" s="8">
        <f t="shared" ca="1" si="60"/>
        <v>7.2278827553635772</v>
      </c>
      <c r="DY23" s="8">
        <f t="shared" ca="1" si="60"/>
        <v>-15.772117244636423</v>
      </c>
      <c r="DZ23" s="8">
        <f t="shared" ca="1" si="60"/>
        <v>-15.772117244636423</v>
      </c>
      <c r="EA23" s="8">
        <f t="shared" ca="1" si="60"/>
        <v>458.22788275536357</v>
      </c>
      <c r="EB23" s="8">
        <f t="shared" ca="1" si="60"/>
        <v>444.22788275536357</v>
      </c>
      <c r="EC23" s="8">
        <f t="shared" ca="1" si="60"/>
        <v>423.22788275536357</v>
      </c>
      <c r="ED23" s="8">
        <f t="shared" ca="1" si="60"/>
        <v>324.22788275536357</v>
      </c>
      <c r="EE23" s="8">
        <f t="shared" ca="1" si="60"/>
        <v>-86.772117244636419</v>
      </c>
      <c r="EF23" s="8">
        <f t="shared" ca="1" si="60"/>
        <v>-106.77211724463642</v>
      </c>
      <c r="EG23" s="8">
        <f t="shared" ca="1" si="60"/>
        <v>27.227882755363577</v>
      </c>
      <c r="EH23" s="8">
        <f t="shared" ca="1" si="60"/>
        <v>-48.772117244636419</v>
      </c>
      <c r="EI23" s="8">
        <f t="shared" ca="1" si="60"/>
        <v>104.22788275536358</v>
      </c>
      <c r="EJ23" s="8">
        <f t="shared" ca="1" si="60"/>
        <v>146.22788275536357</v>
      </c>
      <c r="EK23" s="8" t="str">
        <f t="shared" ca="1" si="60"/>
        <v/>
      </c>
      <c r="EL23" s="8" t="str">
        <f t="shared" ca="1" si="60"/>
        <v/>
      </c>
      <c r="EM23" s="8">
        <f t="shared" ca="1" si="61"/>
        <v>13</v>
      </c>
    </row>
    <row r="24" spans="1:143" x14ac:dyDescent="0.3">
      <c r="A24" s="6">
        <v>3</v>
      </c>
      <c r="B24" s="8" t="str">
        <f t="shared" ca="1" si="62"/>
        <v>Lendl</v>
      </c>
      <c r="DH24" s="8">
        <f t="shared" ca="1" si="59"/>
        <v>-34.837782077986112</v>
      </c>
      <c r="DI24" s="8">
        <f t="shared" ca="1" si="59"/>
        <v>55.162217922013888</v>
      </c>
      <c r="DJ24" s="8">
        <f t="shared" ca="1" si="59"/>
        <v>-87.837782077986105</v>
      </c>
      <c r="DK24" s="8">
        <f t="shared" ca="1" si="59"/>
        <v>116.16221792201389</v>
      </c>
      <c r="DL24" s="8">
        <f t="shared" ca="1" si="59"/>
        <v>210.16221792201389</v>
      </c>
      <c r="DM24" s="8">
        <f t="shared" ca="1" si="59"/>
        <v>80.162217922013895</v>
      </c>
      <c r="DN24" s="8">
        <f t="shared" ca="1" si="59"/>
        <v>326.16221792201389</v>
      </c>
      <c r="DO24" s="8">
        <f t="shared" ca="1" si="59"/>
        <v>338.16221792201389</v>
      </c>
      <c r="DP24" s="8">
        <f t="shared" ca="1" si="59"/>
        <v>272.16221792201389</v>
      </c>
      <c r="DQ24" s="8">
        <f t="shared" ca="1" si="59"/>
        <v>121.16221792201389</v>
      </c>
      <c r="DR24" s="8">
        <f t="shared" ca="1" si="59"/>
        <v>133.16221792201389</v>
      </c>
      <c r="DS24" s="8">
        <f t="shared" ca="1" si="59"/>
        <v>24.162217922013888</v>
      </c>
      <c r="DT24" s="8">
        <f t="shared" ca="1" si="59"/>
        <v>-11.837782077986112</v>
      </c>
      <c r="DU24" s="8">
        <f t="shared" ca="1" si="59"/>
        <v>0</v>
      </c>
      <c r="DV24" s="8">
        <f t="shared" ca="1" si="59"/>
        <v>0</v>
      </c>
      <c r="DW24" s="8" t="str">
        <f t="shared" ca="1" si="63"/>
        <v>Lendl</v>
      </c>
      <c r="DX24" s="8">
        <f t="shared" ca="1" si="60"/>
        <v>-34.837782077986112</v>
      </c>
      <c r="DY24" s="8">
        <f t="shared" ca="1" si="60"/>
        <v>55.162217922013888</v>
      </c>
      <c r="DZ24" s="8">
        <f t="shared" ca="1" si="60"/>
        <v>-87.837782077986105</v>
      </c>
      <c r="EA24" s="8">
        <f t="shared" ca="1" si="60"/>
        <v>116.16221792201389</v>
      </c>
      <c r="EB24" s="8">
        <f t="shared" ca="1" si="60"/>
        <v>210.16221792201389</v>
      </c>
      <c r="EC24" s="8">
        <f t="shared" ca="1" si="60"/>
        <v>80.162217922013895</v>
      </c>
      <c r="ED24" s="8">
        <f t="shared" ca="1" si="60"/>
        <v>326.16221792201389</v>
      </c>
      <c r="EE24" s="8">
        <f t="shared" ca="1" si="60"/>
        <v>338.16221792201389</v>
      </c>
      <c r="EF24" s="8">
        <f t="shared" ca="1" si="60"/>
        <v>272.16221792201389</v>
      </c>
      <c r="EG24" s="8">
        <f t="shared" ca="1" si="60"/>
        <v>121.16221792201389</v>
      </c>
      <c r="EH24" s="8">
        <f t="shared" ca="1" si="60"/>
        <v>133.16221792201389</v>
      </c>
      <c r="EI24" s="8">
        <f t="shared" ca="1" si="60"/>
        <v>24.162217922013888</v>
      </c>
      <c r="EJ24" s="8">
        <f t="shared" ca="1" si="60"/>
        <v>-11.837782077986112</v>
      </c>
      <c r="EK24" s="8" t="str">
        <f t="shared" ca="1" si="60"/>
        <v/>
      </c>
      <c r="EL24" s="8" t="str">
        <f t="shared" ca="1" si="60"/>
        <v/>
      </c>
      <c r="EM24" s="8">
        <f t="shared" ca="1" si="61"/>
        <v>13</v>
      </c>
    </row>
    <row r="25" spans="1:143" x14ac:dyDescent="0.3">
      <c r="A25" s="6">
        <v>4</v>
      </c>
      <c r="B25" s="8" t="str">
        <f t="shared" ca="1" si="62"/>
        <v>Vilas</v>
      </c>
      <c r="DH25" s="8">
        <f t="shared" ca="1" si="59"/>
        <v>-87.83778207798612</v>
      </c>
      <c r="DI25" s="8">
        <f t="shared" ca="1" si="59"/>
        <v>-14.837782077986123</v>
      </c>
      <c r="DJ25" s="8">
        <f t="shared" ca="1" si="59"/>
        <v>91.16221792201388</v>
      </c>
      <c r="DK25" s="8">
        <f t="shared" ca="1" si="59"/>
        <v>133.16221792201387</v>
      </c>
      <c r="DL25" s="8">
        <f t="shared" ca="1" si="59"/>
        <v>196.16221792201387</v>
      </c>
      <c r="DM25" s="8">
        <f t="shared" ca="1" si="59"/>
        <v>42.16221792201388</v>
      </c>
      <c r="DN25" s="8">
        <f t="shared" ca="1" si="59"/>
        <v>30.162217922013877</v>
      </c>
      <c r="DO25" s="8">
        <f t="shared" ca="1" si="59"/>
        <v>-33.83778207798612</v>
      </c>
      <c r="DP25" s="8">
        <f t="shared" ca="1" si="59"/>
        <v>-46.83778207798612</v>
      </c>
      <c r="DQ25" s="8">
        <f t="shared" ca="1" si="59"/>
        <v>-70.83778207798612</v>
      </c>
      <c r="DR25" s="8">
        <f t="shared" ca="1" si="59"/>
        <v>-87.83778207798612</v>
      </c>
      <c r="DS25" s="8">
        <f t="shared" ca="1" si="59"/>
        <v>0</v>
      </c>
      <c r="DT25" s="8">
        <f t="shared" ca="1" si="59"/>
        <v>0</v>
      </c>
      <c r="DU25" s="8">
        <f t="shared" ca="1" si="59"/>
        <v>0</v>
      </c>
      <c r="DV25" s="8">
        <f t="shared" ca="1" si="59"/>
        <v>0</v>
      </c>
      <c r="DW25" s="8" t="str">
        <f t="shared" ca="1" si="63"/>
        <v>Vilas</v>
      </c>
      <c r="DX25" s="8">
        <f t="shared" ca="1" si="60"/>
        <v>-87.83778207798612</v>
      </c>
      <c r="DY25" s="8">
        <f t="shared" ca="1" si="60"/>
        <v>-14.837782077986123</v>
      </c>
      <c r="DZ25" s="8">
        <f t="shared" ca="1" si="60"/>
        <v>91.16221792201388</v>
      </c>
      <c r="EA25" s="8">
        <f t="shared" ca="1" si="60"/>
        <v>133.16221792201387</v>
      </c>
      <c r="EB25" s="8">
        <f t="shared" ca="1" si="60"/>
        <v>196.16221792201387</v>
      </c>
      <c r="EC25" s="8">
        <f t="shared" ca="1" si="60"/>
        <v>42.16221792201388</v>
      </c>
      <c r="ED25" s="8">
        <f t="shared" ca="1" si="60"/>
        <v>30.162217922013877</v>
      </c>
      <c r="EE25" s="8">
        <f t="shared" ca="1" si="60"/>
        <v>-33.83778207798612</v>
      </c>
      <c r="EF25" s="8">
        <f t="shared" ca="1" si="60"/>
        <v>-46.83778207798612</v>
      </c>
      <c r="EG25" s="8">
        <f t="shared" ca="1" si="60"/>
        <v>-70.83778207798612</v>
      </c>
      <c r="EH25" s="8">
        <f t="shared" ca="1" si="60"/>
        <v>-87.83778207798612</v>
      </c>
      <c r="EI25" s="8" t="str">
        <f t="shared" ca="1" si="60"/>
        <v/>
      </c>
      <c r="EJ25" s="8" t="str">
        <f t="shared" ca="1" si="60"/>
        <v/>
      </c>
      <c r="EK25" s="8" t="str">
        <f t="shared" ca="1" si="60"/>
        <v/>
      </c>
      <c r="EL25" s="8" t="str">
        <f t="shared" ca="1" si="60"/>
        <v/>
      </c>
      <c r="EM25" s="8">
        <f t="shared" ca="1" si="61"/>
        <v>11</v>
      </c>
    </row>
    <row r="26" spans="1:143" x14ac:dyDescent="0.3">
      <c r="A26" s="6">
        <v>5</v>
      </c>
      <c r="B26" s="8" t="str">
        <f t="shared" ca="1" si="62"/>
        <v>McEnroe</v>
      </c>
      <c r="DH26" s="8">
        <f t="shared" ca="1" si="59"/>
        <v>263.16221792201389</v>
      </c>
      <c r="DI26" s="8">
        <f t="shared" ca="1" si="59"/>
        <v>-87.837782077986105</v>
      </c>
      <c r="DJ26" s="8">
        <f t="shared" ca="1" si="59"/>
        <v>142.16221792201389</v>
      </c>
      <c r="DK26" s="8">
        <f t="shared" ca="1" si="59"/>
        <v>287.16221792201389</v>
      </c>
      <c r="DL26" s="8">
        <f t="shared" ca="1" si="59"/>
        <v>551.16221792201384</v>
      </c>
      <c r="DM26" s="8">
        <f t="shared" ca="1" si="59"/>
        <v>361.16221792201389</v>
      </c>
      <c r="DN26" s="8">
        <f t="shared" ca="1" si="59"/>
        <v>361.16221792201389</v>
      </c>
      <c r="DO26" s="8">
        <f t="shared" ca="1" si="59"/>
        <v>465.16221792201389</v>
      </c>
      <c r="DP26" s="8">
        <f t="shared" ca="1" si="59"/>
        <v>17.162217922013891</v>
      </c>
      <c r="DQ26" s="8">
        <f t="shared" ca="1" si="59"/>
        <v>-25.837782077986109</v>
      </c>
      <c r="DR26" s="8">
        <f t="shared" ca="1" si="59"/>
        <v>282.16221792201389</v>
      </c>
      <c r="DS26" s="8">
        <f t="shared" ca="1" si="59"/>
        <v>-87.837782077986105</v>
      </c>
      <c r="DT26" s="8">
        <f t="shared" ca="1" si="59"/>
        <v>48.162217922013895</v>
      </c>
      <c r="DU26" s="8">
        <f t="shared" ca="1" si="59"/>
        <v>220.16221792201389</v>
      </c>
      <c r="DV26" s="4">
        <f t="shared" ca="1" si="59"/>
        <v>0</v>
      </c>
      <c r="DW26" s="8" t="str">
        <f t="shared" ca="1" si="63"/>
        <v>McEnroe</v>
      </c>
      <c r="DX26" s="8">
        <f t="shared" ca="1" si="60"/>
        <v>263.16221792201389</v>
      </c>
      <c r="DY26" s="8">
        <f t="shared" ca="1" si="60"/>
        <v>-87.837782077986105</v>
      </c>
      <c r="DZ26" s="8">
        <f t="shared" ca="1" si="60"/>
        <v>142.16221792201389</v>
      </c>
      <c r="EA26" s="8">
        <f t="shared" ca="1" si="60"/>
        <v>287.16221792201389</v>
      </c>
      <c r="EB26" s="8">
        <f t="shared" ca="1" si="60"/>
        <v>551.16221792201384</v>
      </c>
      <c r="EC26" s="8">
        <f t="shared" ca="1" si="60"/>
        <v>361.16221792201389</v>
      </c>
      <c r="ED26" s="8">
        <f t="shared" ca="1" si="60"/>
        <v>361.16221792201389</v>
      </c>
      <c r="EE26" s="8">
        <f t="shared" ca="1" si="60"/>
        <v>465.16221792201389</v>
      </c>
      <c r="EF26" s="8">
        <f t="shared" ca="1" si="60"/>
        <v>17.162217922013891</v>
      </c>
      <c r="EG26" s="8">
        <f t="shared" ca="1" si="60"/>
        <v>-25.837782077986109</v>
      </c>
      <c r="EH26" s="8">
        <f t="shared" ca="1" si="60"/>
        <v>282.16221792201389</v>
      </c>
      <c r="EI26" s="8">
        <f t="shared" ca="1" si="60"/>
        <v>-87.837782077986105</v>
      </c>
      <c r="EJ26" s="8">
        <f t="shared" ca="1" si="60"/>
        <v>48.162217922013895</v>
      </c>
      <c r="EK26" s="8">
        <f t="shared" ca="1" si="60"/>
        <v>220.16221792201389</v>
      </c>
      <c r="EL26" s="8" t="str">
        <f t="shared" ca="1" si="60"/>
        <v/>
      </c>
      <c r="EM26" s="8">
        <f t="shared" ca="1" si="61"/>
        <v>14</v>
      </c>
    </row>
    <row r="27" spans="1:143" x14ac:dyDescent="0.3">
      <c r="A27" s="6">
        <v>6</v>
      </c>
      <c r="B27" s="8" t="str">
        <f t="shared" ca="1" si="62"/>
        <v>Borg</v>
      </c>
      <c r="DH27" s="8">
        <f t="shared" ca="1" si="59"/>
        <v>102.16221792201388</v>
      </c>
      <c r="DI27" s="8">
        <f t="shared" ca="1" si="59"/>
        <v>20.162217922013884</v>
      </c>
      <c r="DJ27" s="8">
        <f t="shared" ca="1" si="59"/>
        <v>195.16221792201389</v>
      </c>
      <c r="DK27" s="8">
        <f t="shared" ca="1" si="59"/>
        <v>477.16221792201389</v>
      </c>
      <c r="DL27" s="8">
        <f t="shared" ca="1" si="59"/>
        <v>583.16221792201384</v>
      </c>
      <c r="DM27" s="8">
        <f t="shared" ca="1" si="59"/>
        <v>453.16221792201389</v>
      </c>
      <c r="DN27" s="8">
        <f t="shared" ca="1" si="59"/>
        <v>550.16221792201384</v>
      </c>
      <c r="DO27" s="8">
        <f t="shared" ca="1" si="59"/>
        <v>481.16221792201389</v>
      </c>
      <c r="DP27" s="8">
        <f t="shared" ca="1" si="59"/>
        <v>530.16221792201384</v>
      </c>
      <c r="DQ27" s="8">
        <f t="shared" ca="1" si="59"/>
        <v>11.162217922013884</v>
      </c>
      <c r="DR27" s="8">
        <f t="shared" ca="1" si="59"/>
        <v>0</v>
      </c>
      <c r="DS27" s="8">
        <f t="shared" ca="1" si="59"/>
        <v>0</v>
      </c>
      <c r="DT27" s="8">
        <f t="shared" ca="1" si="59"/>
        <v>0</v>
      </c>
      <c r="DU27" s="8">
        <f t="shared" ca="1" si="59"/>
        <v>0</v>
      </c>
      <c r="DV27" s="4">
        <f t="shared" ca="1" si="59"/>
        <v>0</v>
      </c>
      <c r="DW27" s="8" t="str">
        <f t="shared" ca="1" si="63"/>
        <v>Borg</v>
      </c>
      <c r="DX27" s="8">
        <f t="shared" ca="1" si="60"/>
        <v>102.16221792201388</v>
      </c>
      <c r="DY27" s="8">
        <f t="shared" ca="1" si="60"/>
        <v>20.162217922013884</v>
      </c>
      <c r="DZ27" s="8">
        <f t="shared" ca="1" si="60"/>
        <v>195.16221792201389</v>
      </c>
      <c r="EA27" s="8">
        <f t="shared" ca="1" si="60"/>
        <v>477.16221792201389</v>
      </c>
      <c r="EB27" s="8">
        <f t="shared" ca="1" si="60"/>
        <v>583.16221792201384</v>
      </c>
      <c r="EC27" s="8">
        <f t="shared" ca="1" si="60"/>
        <v>453.16221792201389</v>
      </c>
      <c r="ED27" s="8">
        <f t="shared" ca="1" si="60"/>
        <v>550.16221792201384</v>
      </c>
      <c r="EE27" s="8">
        <f t="shared" ca="1" si="60"/>
        <v>481.16221792201389</v>
      </c>
      <c r="EF27" s="8">
        <f t="shared" ca="1" si="60"/>
        <v>530.16221792201384</v>
      </c>
      <c r="EG27" s="8">
        <f t="shared" ca="1" si="60"/>
        <v>11.162217922013884</v>
      </c>
      <c r="EH27" s="8" t="str">
        <f t="shared" ca="1" si="60"/>
        <v/>
      </c>
      <c r="EI27" s="8" t="str">
        <f t="shared" ca="1" si="60"/>
        <v/>
      </c>
      <c r="EJ27" s="8" t="str">
        <f t="shared" ca="1" si="60"/>
        <v/>
      </c>
      <c r="EK27" s="8" t="str">
        <f t="shared" ca="1" si="60"/>
        <v/>
      </c>
      <c r="EL27" s="4" t="str">
        <f t="shared" ca="1" si="60"/>
        <v/>
      </c>
      <c r="EM27" s="8">
        <f t="shared" ca="1" si="61"/>
        <v>10</v>
      </c>
    </row>
    <row r="28" spans="1:143" x14ac:dyDescent="0.3">
      <c r="A28" s="7">
        <f ca="1">RANDBETWEEN(3,4)</f>
        <v>3</v>
      </c>
      <c r="B28" s="8" t="str">
        <f ca="1">VLOOKUP(A28,$A$2:$B$18, 2, FALSE)</f>
        <v>Djokovic</v>
      </c>
      <c r="DH28" s="8">
        <f t="shared" ca="1" si="59"/>
        <v>34.227882755363581</v>
      </c>
      <c r="DI28" s="8">
        <f t="shared" ca="1" si="59"/>
        <v>168.22788275536357</v>
      </c>
      <c r="DJ28" s="8">
        <f t="shared" ca="1" si="59"/>
        <v>283.22788275536357</v>
      </c>
      <c r="DK28" s="8">
        <f t="shared" ca="1" si="59"/>
        <v>-73.772117244636419</v>
      </c>
      <c r="DL28" s="8">
        <f t="shared" ca="1" si="59"/>
        <v>283.22788275536357</v>
      </c>
      <c r="DM28" s="8">
        <f t="shared" ca="1" si="59"/>
        <v>198.22788275536357</v>
      </c>
      <c r="DN28" s="8">
        <f t="shared" ca="1" si="59"/>
        <v>487.22788275536357</v>
      </c>
      <c r="DO28" s="8">
        <f t="shared" ca="1" si="59"/>
        <v>320.22788275536357</v>
      </c>
      <c r="DP28" s="8">
        <f t="shared" ca="1" si="59"/>
        <v>431.22788275536357</v>
      </c>
      <c r="DQ28" s="8">
        <f t="shared" ca="1" si="59"/>
        <v>549.22788275536357</v>
      </c>
      <c r="DR28" s="8">
        <f t="shared" ca="1" si="59"/>
        <v>544.22788275536357</v>
      </c>
      <c r="DS28" s="8">
        <f t="shared" ca="1" si="59"/>
        <v>10.227882755363579</v>
      </c>
      <c r="DT28" s="8">
        <f t="shared" ca="1" si="59"/>
        <v>95.227882755363581</v>
      </c>
      <c r="DU28" s="8">
        <f t="shared" ca="1" si="59"/>
        <v>491.22788275536357</v>
      </c>
      <c r="DV28" s="4">
        <f t="shared" ca="1" si="59"/>
        <v>0</v>
      </c>
      <c r="DW28" s="8" t="str">
        <f t="shared" ca="1" si="63"/>
        <v>Djokovic</v>
      </c>
      <c r="DX28" s="8">
        <f t="shared" ca="1" si="60"/>
        <v>34.227882755363581</v>
      </c>
      <c r="DY28" s="8">
        <f t="shared" ca="1" si="60"/>
        <v>168.22788275536357</v>
      </c>
      <c r="DZ28" s="8">
        <f t="shared" ca="1" si="60"/>
        <v>283.22788275536357</v>
      </c>
      <c r="EA28" s="8">
        <f t="shared" ca="1" si="60"/>
        <v>-73.772117244636419</v>
      </c>
      <c r="EB28" s="8">
        <f t="shared" ca="1" si="60"/>
        <v>283.22788275536357</v>
      </c>
      <c r="EC28" s="8">
        <f t="shared" ca="1" si="60"/>
        <v>198.22788275536357</v>
      </c>
      <c r="ED28" s="8">
        <f t="shared" ca="1" si="60"/>
        <v>487.22788275536357</v>
      </c>
      <c r="EE28" s="8">
        <f t="shared" ca="1" si="60"/>
        <v>320.22788275536357</v>
      </c>
      <c r="EF28" s="8">
        <f t="shared" ca="1" si="60"/>
        <v>431.22788275536357</v>
      </c>
      <c r="EG28" s="8">
        <f t="shared" ca="1" si="60"/>
        <v>549.22788275536357</v>
      </c>
      <c r="EH28" s="8">
        <f t="shared" ca="1" si="60"/>
        <v>544.22788275536357</v>
      </c>
      <c r="EI28" s="8">
        <f t="shared" ca="1" si="60"/>
        <v>10.227882755363579</v>
      </c>
      <c r="EJ28" s="8">
        <f t="shared" ca="1" si="60"/>
        <v>95.227882755363581</v>
      </c>
      <c r="EK28" s="8">
        <f t="shared" ca="1" si="60"/>
        <v>491.22788275536357</v>
      </c>
      <c r="EL28" s="8" t="str">
        <f t="shared" ca="1" si="60"/>
        <v/>
      </c>
      <c r="EM28" s="8">
        <f t="shared" ca="1" si="61"/>
        <v>14</v>
      </c>
    </row>
    <row r="29" spans="1:143" x14ac:dyDescent="0.3">
      <c r="A29" s="7">
        <f ca="1">IF(A28=3, 4, 3)</f>
        <v>4</v>
      </c>
      <c r="B29" s="8" t="str">
        <f ca="1">VLOOKUP(A29,$A$2:$B$18, 2, FALSE)</f>
        <v>Becker</v>
      </c>
      <c r="DH29" s="8">
        <f t="shared" ca="1" si="59"/>
        <v>46.162217922013895</v>
      </c>
      <c r="DI29" s="8">
        <f t="shared" ca="1" si="59"/>
        <v>538.16221792201384</v>
      </c>
      <c r="DJ29" s="8">
        <f t="shared" ca="1" si="59"/>
        <v>527.16221792201384</v>
      </c>
      <c r="DK29" s="8">
        <f t="shared" ca="1" si="59"/>
        <v>358.16221792201389</v>
      </c>
      <c r="DL29" s="8">
        <f t="shared" ca="1" si="59"/>
        <v>440.16221792201389</v>
      </c>
      <c r="DM29" s="8">
        <f t="shared" ca="1" si="59"/>
        <v>440.16221792201389</v>
      </c>
      <c r="DN29" s="8">
        <f t="shared" ca="1" si="59"/>
        <v>340.16221792201389</v>
      </c>
      <c r="DO29" s="8">
        <f t="shared" ca="1" si="59"/>
        <v>190.16221792201389</v>
      </c>
      <c r="DP29" s="8">
        <f t="shared" ca="1" si="59"/>
        <v>346.16221792201389</v>
      </c>
      <c r="DQ29" s="8">
        <f t="shared" ca="1" si="59"/>
        <v>140.16221792201389</v>
      </c>
      <c r="DR29" s="8">
        <f t="shared" ca="1" si="59"/>
        <v>233.16221792201389</v>
      </c>
      <c r="DS29" s="8">
        <f t="shared" ca="1" si="59"/>
        <v>-35.837782077986105</v>
      </c>
      <c r="DT29" s="8">
        <f t="shared" ca="1" si="59"/>
        <v>181.16221792201389</v>
      </c>
      <c r="DU29" s="8">
        <f t="shared" ca="1" si="59"/>
        <v>160.16221792201389</v>
      </c>
      <c r="DV29" s="8">
        <f t="shared" ca="1" si="59"/>
        <v>0</v>
      </c>
      <c r="DW29" s="8" t="str">
        <f t="shared" ca="1" si="63"/>
        <v>Becker</v>
      </c>
      <c r="DX29" s="8">
        <f t="shared" ca="1" si="60"/>
        <v>46.162217922013895</v>
      </c>
      <c r="DY29" s="8">
        <f t="shared" ca="1" si="60"/>
        <v>538.16221792201384</v>
      </c>
      <c r="DZ29" s="8">
        <f t="shared" ca="1" si="60"/>
        <v>527.16221792201384</v>
      </c>
      <c r="EA29" s="8">
        <f t="shared" ca="1" si="60"/>
        <v>358.16221792201389</v>
      </c>
      <c r="EB29" s="8">
        <f t="shared" ca="1" si="60"/>
        <v>440.16221792201389</v>
      </c>
      <c r="EC29" s="8">
        <f t="shared" ca="1" si="60"/>
        <v>440.16221792201389</v>
      </c>
      <c r="ED29" s="8">
        <f t="shared" ca="1" si="60"/>
        <v>340.16221792201389</v>
      </c>
      <c r="EE29" s="8">
        <f t="shared" ca="1" si="60"/>
        <v>190.16221792201389</v>
      </c>
      <c r="EF29" s="8">
        <f t="shared" ca="1" si="60"/>
        <v>346.16221792201389</v>
      </c>
      <c r="EG29" s="8">
        <f t="shared" ca="1" si="60"/>
        <v>140.16221792201389</v>
      </c>
      <c r="EH29" s="8">
        <f t="shared" ca="1" si="60"/>
        <v>233.16221792201389</v>
      </c>
      <c r="EI29" s="8">
        <f t="shared" ca="1" si="60"/>
        <v>-35.837782077986105</v>
      </c>
      <c r="EJ29" s="8">
        <f t="shared" ca="1" si="60"/>
        <v>181.16221792201389</v>
      </c>
      <c r="EK29" s="8">
        <f t="shared" ca="1" si="60"/>
        <v>160.16221792201389</v>
      </c>
      <c r="EL29" s="8" t="str">
        <f t="shared" ca="1" si="60"/>
        <v/>
      </c>
      <c r="EM29" s="8">
        <f t="shared" ca="1" si="61"/>
        <v>14</v>
      </c>
    </row>
    <row r="30" spans="1:143" x14ac:dyDescent="0.3">
      <c r="A30" s="6">
        <v>7</v>
      </c>
      <c r="B30" s="8" t="str">
        <f t="shared" ref="B30:B35" ca="1" si="64">VLOOKUP(A30,$E$2:$F$18, 2, FALSE)</f>
        <v>Courier</v>
      </c>
      <c r="DH30" s="8">
        <f t="shared" ca="1" si="59"/>
        <v>-40.837782077986112</v>
      </c>
      <c r="DI30" s="8">
        <f t="shared" ca="1" si="59"/>
        <v>-85.83778207798612</v>
      </c>
      <c r="DJ30" s="8">
        <f t="shared" ca="1" si="59"/>
        <v>124.16221792201388</v>
      </c>
      <c r="DK30" s="8">
        <f t="shared" ca="1" si="59"/>
        <v>-45.837782077986112</v>
      </c>
      <c r="DL30" s="8">
        <f t="shared" ca="1" si="59"/>
        <v>354.16221792201389</v>
      </c>
      <c r="DM30" s="8">
        <f t="shared" ca="1" si="59"/>
        <v>-66.83778207798612</v>
      </c>
      <c r="DN30" s="8">
        <f t="shared" ca="1" si="59"/>
        <v>354.16221792201389</v>
      </c>
      <c r="DO30" s="8">
        <f t="shared" ca="1" si="59"/>
        <v>-87.83778207798612</v>
      </c>
      <c r="DP30" s="8">
        <f t="shared" ca="1" si="59"/>
        <v>-76.83778207798612</v>
      </c>
      <c r="DQ30" s="8">
        <f t="shared" ca="1" si="59"/>
        <v>-29.837782077986112</v>
      </c>
      <c r="DR30" s="8">
        <f t="shared" ca="1" si="59"/>
        <v>144.16221792201389</v>
      </c>
      <c r="DS30" s="8">
        <f t="shared" ca="1" si="59"/>
        <v>0</v>
      </c>
      <c r="DT30" s="8">
        <f t="shared" ca="1" si="59"/>
        <v>0</v>
      </c>
      <c r="DU30" s="8">
        <f t="shared" ca="1" si="59"/>
        <v>0</v>
      </c>
      <c r="DV30" s="8">
        <f t="shared" ca="1" si="59"/>
        <v>0</v>
      </c>
      <c r="DW30" s="8" t="str">
        <f t="shared" ca="1" si="63"/>
        <v>Courier</v>
      </c>
      <c r="DX30" s="8">
        <f t="shared" ca="1" si="60"/>
        <v>-40.837782077986112</v>
      </c>
      <c r="DY30" s="8">
        <f t="shared" ca="1" si="60"/>
        <v>-85.83778207798612</v>
      </c>
      <c r="DZ30" s="8">
        <f t="shared" ca="1" si="60"/>
        <v>124.16221792201388</v>
      </c>
      <c r="EA30" s="8">
        <f t="shared" ca="1" si="60"/>
        <v>-45.837782077986112</v>
      </c>
      <c r="EB30" s="8">
        <f t="shared" ca="1" si="60"/>
        <v>354.16221792201389</v>
      </c>
      <c r="EC30" s="8">
        <f t="shared" ca="1" si="60"/>
        <v>-66.83778207798612</v>
      </c>
      <c r="ED30" s="8">
        <f t="shared" ca="1" si="60"/>
        <v>354.16221792201389</v>
      </c>
      <c r="EE30" s="8">
        <f t="shared" ca="1" si="60"/>
        <v>-87.83778207798612</v>
      </c>
      <c r="EF30" s="8">
        <f t="shared" ca="1" si="60"/>
        <v>-76.83778207798612</v>
      </c>
      <c r="EG30" s="8">
        <f t="shared" ca="1" si="60"/>
        <v>-29.837782077986112</v>
      </c>
      <c r="EH30" s="8">
        <f t="shared" ca="1" si="60"/>
        <v>144.16221792201389</v>
      </c>
      <c r="EI30" s="8" t="str">
        <f t="shared" ca="1" si="60"/>
        <v/>
      </c>
      <c r="EJ30" s="8" t="str">
        <f t="shared" ca="1" si="60"/>
        <v/>
      </c>
      <c r="EK30" s="8" t="str">
        <f t="shared" ca="1" si="60"/>
        <v/>
      </c>
      <c r="EL30" s="8" t="str">
        <f t="shared" ca="1" si="60"/>
        <v/>
      </c>
      <c r="EM30" s="8">
        <f t="shared" ca="1" si="61"/>
        <v>11</v>
      </c>
    </row>
    <row r="31" spans="1:143" x14ac:dyDescent="0.3">
      <c r="A31" s="6">
        <v>8</v>
      </c>
      <c r="B31" s="8" t="str">
        <f t="shared" ca="1" si="64"/>
        <v>Agassi</v>
      </c>
      <c r="DH31" s="8">
        <f t="shared" ca="1" si="59"/>
        <v>-3.1145640096755578</v>
      </c>
      <c r="DI31" s="8">
        <f t="shared" ca="1" si="59"/>
        <v>152.88543599032445</v>
      </c>
      <c r="DJ31" s="8">
        <f t="shared" ca="1" si="59"/>
        <v>463.88543599032442</v>
      </c>
      <c r="DK31" s="8">
        <f t="shared" ca="1" si="59"/>
        <v>172.88543599032445</v>
      </c>
      <c r="DL31" s="8">
        <f t="shared" ca="1" si="59"/>
        <v>137.88543599032445</v>
      </c>
      <c r="DM31" s="8">
        <f t="shared" ca="1" si="59"/>
        <v>210.88543599032445</v>
      </c>
      <c r="DN31" s="8">
        <f t="shared" ca="1" si="59"/>
        <v>-93.114564009675561</v>
      </c>
      <c r="DO31" s="8">
        <f t="shared" ca="1" si="59"/>
        <v>-21.114564009675558</v>
      </c>
      <c r="DP31" s="8">
        <f t="shared" ca="1" si="59"/>
        <v>336.88543599032442</v>
      </c>
      <c r="DQ31" s="8">
        <f t="shared" ca="1" si="59"/>
        <v>215.88543599032445</v>
      </c>
      <c r="DR31" s="8">
        <f t="shared" ca="1" si="59"/>
        <v>198.88543599032445</v>
      </c>
      <c r="DS31" s="8">
        <f t="shared" ca="1" si="59"/>
        <v>-60.114564009675561</v>
      </c>
      <c r="DT31" s="8">
        <f t="shared" ca="1" si="59"/>
        <v>43.885435990324439</v>
      </c>
      <c r="DU31" s="8">
        <f t="shared" ca="1" si="59"/>
        <v>64.885435990324439</v>
      </c>
      <c r="DV31" s="8">
        <f t="shared" ca="1" si="59"/>
        <v>0</v>
      </c>
      <c r="DW31" s="8" t="str">
        <f t="shared" ca="1" si="63"/>
        <v>Agassi</v>
      </c>
      <c r="DX31" s="8">
        <f t="shared" ca="1" si="60"/>
        <v>-3.1145640096755578</v>
      </c>
      <c r="DY31" s="8">
        <f t="shared" ca="1" si="60"/>
        <v>152.88543599032445</v>
      </c>
      <c r="DZ31" s="8">
        <f t="shared" ca="1" si="60"/>
        <v>463.88543599032442</v>
      </c>
      <c r="EA31" s="8">
        <f t="shared" ca="1" si="60"/>
        <v>172.88543599032445</v>
      </c>
      <c r="EB31" s="8">
        <f t="shared" ca="1" si="60"/>
        <v>137.88543599032445</v>
      </c>
      <c r="EC31" s="8">
        <f t="shared" ca="1" si="60"/>
        <v>210.88543599032445</v>
      </c>
      <c r="ED31" s="8">
        <f t="shared" ca="1" si="60"/>
        <v>-93.114564009675561</v>
      </c>
      <c r="EE31" s="8">
        <f t="shared" ca="1" si="60"/>
        <v>-21.114564009675558</v>
      </c>
      <c r="EF31" s="8">
        <f t="shared" ca="1" si="60"/>
        <v>336.88543599032442</v>
      </c>
      <c r="EG31" s="8">
        <f t="shared" ca="1" si="60"/>
        <v>215.88543599032445</v>
      </c>
      <c r="EH31" s="8">
        <f t="shared" ca="1" si="60"/>
        <v>198.88543599032445</v>
      </c>
      <c r="EI31" s="8">
        <f t="shared" ca="1" si="60"/>
        <v>-60.114564009675561</v>
      </c>
      <c r="EJ31" s="8">
        <f t="shared" ca="1" si="60"/>
        <v>43.885435990324439</v>
      </c>
      <c r="EK31" s="8">
        <f t="shared" ca="1" si="60"/>
        <v>64.885435990324439</v>
      </c>
      <c r="EL31" s="8" t="str">
        <f t="shared" ca="1" si="60"/>
        <v/>
      </c>
      <c r="EM31" s="8">
        <f t="shared" ca="1" si="61"/>
        <v>14</v>
      </c>
    </row>
    <row r="32" spans="1:143" x14ac:dyDescent="0.3">
      <c r="A32" s="6">
        <v>9</v>
      </c>
      <c r="B32" s="8" t="str">
        <f t="shared" ca="1" si="64"/>
        <v>Edberg</v>
      </c>
      <c r="DH32" s="8">
        <f t="shared" ca="1" si="59"/>
        <v>62.16221792201388</v>
      </c>
      <c r="DI32" s="8">
        <f t="shared" ca="1" si="59"/>
        <v>43.16221792201388</v>
      </c>
      <c r="DJ32" s="8">
        <f t="shared" ca="1" si="59"/>
        <v>43.16221792201388</v>
      </c>
      <c r="DK32" s="8">
        <f t="shared" ca="1" si="59"/>
        <v>62.16221792201388</v>
      </c>
      <c r="DL32" s="8">
        <f t="shared" ca="1" si="59"/>
        <v>241.16221792201389</v>
      </c>
      <c r="DM32" s="8">
        <f t="shared" ca="1" si="59"/>
        <v>360.16221792201389</v>
      </c>
      <c r="DN32" s="8">
        <f t="shared" ca="1" si="59"/>
        <v>326.16221792201389</v>
      </c>
      <c r="DO32" s="8">
        <f t="shared" ca="1" si="59"/>
        <v>446.16221792201389</v>
      </c>
      <c r="DP32" s="8">
        <f t="shared" ca="1" si="59"/>
        <v>187.16221792201389</v>
      </c>
      <c r="DQ32" s="8">
        <f t="shared" ca="1" si="59"/>
        <v>17.162217922013884</v>
      </c>
      <c r="DR32" s="8">
        <f t="shared" ca="1" si="59"/>
        <v>180.16221792201389</v>
      </c>
      <c r="DS32" s="8">
        <f t="shared" ca="1" si="59"/>
        <v>-86.83778207798612</v>
      </c>
      <c r="DT32" s="8">
        <f t="shared" ca="1" si="59"/>
        <v>-74.83778207798612</v>
      </c>
      <c r="DU32" s="8">
        <f t="shared" ca="1" si="59"/>
        <v>2.162217922013884</v>
      </c>
      <c r="DV32" s="8">
        <f t="shared" ca="1" si="59"/>
        <v>0</v>
      </c>
      <c r="DW32" s="8" t="str">
        <f t="shared" ca="1" si="63"/>
        <v>Edberg</v>
      </c>
      <c r="DX32" s="8">
        <f t="shared" ca="1" si="60"/>
        <v>62.16221792201388</v>
      </c>
      <c r="DY32" s="8">
        <f t="shared" ca="1" si="60"/>
        <v>43.16221792201388</v>
      </c>
      <c r="DZ32" s="8">
        <f t="shared" ca="1" si="60"/>
        <v>43.16221792201388</v>
      </c>
      <c r="EA32" s="8">
        <f t="shared" ca="1" si="60"/>
        <v>62.16221792201388</v>
      </c>
      <c r="EB32" s="8">
        <f t="shared" ca="1" si="60"/>
        <v>241.16221792201389</v>
      </c>
      <c r="EC32" s="8">
        <f t="shared" ca="1" si="60"/>
        <v>360.16221792201389</v>
      </c>
      <c r="ED32" s="8">
        <f t="shared" ca="1" si="60"/>
        <v>326.16221792201389</v>
      </c>
      <c r="EE32" s="8">
        <f t="shared" ca="1" si="60"/>
        <v>446.16221792201389</v>
      </c>
      <c r="EF32" s="8">
        <f t="shared" ca="1" si="60"/>
        <v>187.16221792201389</v>
      </c>
      <c r="EG32" s="8">
        <f t="shared" ca="1" si="60"/>
        <v>17.162217922013884</v>
      </c>
      <c r="EH32" s="8">
        <f t="shared" ca="1" si="60"/>
        <v>180.16221792201389</v>
      </c>
      <c r="EI32" s="8">
        <f t="shared" ca="1" si="60"/>
        <v>-86.83778207798612</v>
      </c>
      <c r="EJ32" s="8">
        <f t="shared" ca="1" si="60"/>
        <v>-74.83778207798612</v>
      </c>
      <c r="EK32" s="8">
        <f t="shared" ca="1" si="60"/>
        <v>2.162217922013884</v>
      </c>
      <c r="EL32" s="8" t="str">
        <f t="shared" ca="1" si="60"/>
        <v/>
      </c>
      <c r="EM32" s="8">
        <f t="shared" ca="1" si="61"/>
        <v>14</v>
      </c>
    </row>
    <row r="33" spans="1:143" x14ac:dyDescent="0.3">
      <c r="A33" s="6">
        <v>10</v>
      </c>
      <c r="B33" s="8" t="str">
        <f t="shared" ca="1" si="64"/>
        <v>Murray</v>
      </c>
      <c r="DH33" s="8">
        <f t="shared" ca="1" si="59"/>
        <v>61.227882755363559</v>
      </c>
      <c r="DI33" s="8">
        <f t="shared" ca="1" si="59"/>
        <v>143.22788275536357</v>
      </c>
      <c r="DJ33" s="8">
        <f t="shared" ca="1" si="59"/>
        <v>201.22788275536357</v>
      </c>
      <c r="DK33" s="8">
        <f t="shared" ca="1" si="59"/>
        <v>208.22788275536357</v>
      </c>
      <c r="DL33" s="8">
        <f t="shared" ca="1" si="59"/>
        <v>299.22788275536357</v>
      </c>
      <c r="DM33" s="8">
        <f t="shared" ca="1" si="59"/>
        <v>275.22788275536357</v>
      </c>
      <c r="DN33" s="8">
        <f t="shared" ca="1" si="59"/>
        <v>443.22788275536357</v>
      </c>
      <c r="DO33" s="8">
        <f t="shared" ca="1" si="59"/>
        <v>444.22788275536357</v>
      </c>
      <c r="DP33" s="8">
        <f t="shared" ca="1" si="59"/>
        <v>153.22788275536357</v>
      </c>
      <c r="DQ33" s="8">
        <f t="shared" ca="1" si="59"/>
        <v>369.22788275536357</v>
      </c>
      <c r="DR33" s="8">
        <f t="shared" ca="1" si="59"/>
        <v>434.22788275536357</v>
      </c>
      <c r="DS33" s="8">
        <f t="shared" ca="1" si="59"/>
        <v>114.22788275536357</v>
      </c>
      <c r="DT33" s="8">
        <f t="shared" ca="1" si="59"/>
        <v>0</v>
      </c>
      <c r="DU33" s="8">
        <f t="shared" ca="1" si="59"/>
        <v>0</v>
      </c>
      <c r="DV33" s="8">
        <f t="shared" ca="1" si="59"/>
        <v>0</v>
      </c>
      <c r="DW33" s="8" t="str">
        <f t="shared" ca="1" si="63"/>
        <v>Murray</v>
      </c>
      <c r="DX33" s="8">
        <f t="shared" ca="1" si="60"/>
        <v>61.227882755363559</v>
      </c>
      <c r="DY33" s="8">
        <f t="shared" ca="1" si="60"/>
        <v>143.22788275536357</v>
      </c>
      <c r="DZ33" s="8">
        <f t="shared" ca="1" si="60"/>
        <v>201.22788275536357</v>
      </c>
      <c r="EA33" s="8">
        <f t="shared" ca="1" si="60"/>
        <v>208.22788275536357</v>
      </c>
      <c r="EB33" s="8">
        <f t="shared" ca="1" si="60"/>
        <v>299.22788275536357</v>
      </c>
      <c r="EC33" s="8">
        <f t="shared" ca="1" si="60"/>
        <v>275.22788275536357</v>
      </c>
      <c r="ED33" s="8">
        <f t="shared" ca="1" si="60"/>
        <v>443.22788275536357</v>
      </c>
      <c r="EE33" s="8">
        <f t="shared" ca="1" si="60"/>
        <v>444.22788275536357</v>
      </c>
      <c r="EF33" s="8">
        <f t="shared" ca="1" si="60"/>
        <v>153.22788275536357</v>
      </c>
      <c r="EG33" s="8">
        <f t="shared" ca="1" si="60"/>
        <v>369.22788275536357</v>
      </c>
      <c r="EH33" s="8">
        <f t="shared" ca="1" si="60"/>
        <v>434.22788275536357</v>
      </c>
      <c r="EI33" s="8">
        <f t="shared" ca="1" si="60"/>
        <v>114.22788275536357</v>
      </c>
      <c r="EJ33" s="8" t="str">
        <f t="shared" ca="1" si="60"/>
        <v/>
      </c>
      <c r="EK33" s="8" t="str">
        <f t="shared" ca="1" si="60"/>
        <v/>
      </c>
      <c r="EL33" s="8" t="str">
        <f t="shared" ca="1" si="60"/>
        <v/>
      </c>
      <c r="EM33" s="8">
        <f t="shared" ca="1" si="61"/>
        <v>12</v>
      </c>
    </row>
    <row r="34" spans="1:143" x14ac:dyDescent="0.3">
      <c r="A34" s="6">
        <v>11</v>
      </c>
      <c r="B34" s="8" t="str">
        <f t="shared" ca="1" si="64"/>
        <v>Sampras</v>
      </c>
      <c r="DH34" s="8">
        <f t="shared" ca="1" si="59"/>
        <v>-90.022513058753461</v>
      </c>
      <c r="DI34" s="8">
        <f t="shared" ca="1" si="59"/>
        <v>-32.022513058753461</v>
      </c>
      <c r="DJ34" s="8">
        <f t="shared" ca="1" si="59"/>
        <v>-14.022513058753457</v>
      </c>
      <c r="DK34" s="8">
        <f t="shared" ca="1" si="59"/>
        <v>299.97748694124653</v>
      </c>
      <c r="DL34" s="8">
        <f t="shared" ca="1" si="59"/>
        <v>388.97748694124653</v>
      </c>
      <c r="DM34" s="8">
        <f t="shared" ca="1" si="59"/>
        <v>523.97748694124653</v>
      </c>
      <c r="DN34" s="8">
        <f t="shared" ca="1" si="59"/>
        <v>321.97748694124653</v>
      </c>
      <c r="DO34" s="8">
        <f t="shared" ca="1" si="59"/>
        <v>232.97748694124655</v>
      </c>
      <c r="DP34" s="8">
        <f t="shared" ca="1" si="59"/>
        <v>405.97748694124653</v>
      </c>
      <c r="DQ34" s="8">
        <f t="shared" ca="1" si="59"/>
        <v>472.97748694124653</v>
      </c>
      <c r="DR34" s="8">
        <f t="shared" ca="1" si="59"/>
        <v>381.97748694124653</v>
      </c>
      <c r="DS34" s="8">
        <f t="shared" ca="1" si="59"/>
        <v>287.97748694124653</v>
      </c>
      <c r="DT34" s="8">
        <f t="shared" ca="1" si="59"/>
        <v>39.977486941246539</v>
      </c>
      <c r="DU34" s="8">
        <f t="shared" ca="1" si="59"/>
        <v>-89.022513058753461</v>
      </c>
      <c r="DV34" s="8">
        <f t="shared" ca="1" si="59"/>
        <v>0</v>
      </c>
      <c r="DW34" s="8" t="str">
        <f t="shared" ca="1" si="63"/>
        <v>Sampras</v>
      </c>
      <c r="DX34" s="8">
        <f t="shared" ca="1" si="60"/>
        <v>-90.022513058753461</v>
      </c>
      <c r="DY34" s="8">
        <f t="shared" ca="1" si="60"/>
        <v>-32.022513058753461</v>
      </c>
      <c r="DZ34" s="8">
        <f t="shared" ca="1" si="60"/>
        <v>-14.022513058753457</v>
      </c>
      <c r="EA34" s="8">
        <f t="shared" ca="1" si="60"/>
        <v>299.97748694124653</v>
      </c>
      <c r="EB34" s="8">
        <f t="shared" ca="1" si="60"/>
        <v>388.97748694124653</v>
      </c>
      <c r="EC34" s="8">
        <f t="shared" ca="1" si="60"/>
        <v>523.97748694124653</v>
      </c>
      <c r="ED34" s="8">
        <f t="shared" ca="1" si="60"/>
        <v>321.97748694124653</v>
      </c>
      <c r="EE34" s="8">
        <f t="shared" ca="1" si="60"/>
        <v>232.97748694124655</v>
      </c>
      <c r="EF34" s="8">
        <f t="shared" ca="1" si="60"/>
        <v>405.97748694124653</v>
      </c>
      <c r="EG34" s="8">
        <f t="shared" ca="1" si="60"/>
        <v>472.97748694124653</v>
      </c>
      <c r="EH34" s="8">
        <f t="shared" ca="1" si="60"/>
        <v>381.97748694124653</v>
      </c>
      <c r="EI34" s="8">
        <f t="shared" ca="1" si="60"/>
        <v>287.97748694124653</v>
      </c>
      <c r="EJ34" s="8">
        <f t="shared" ca="1" si="60"/>
        <v>39.977486941246539</v>
      </c>
      <c r="EK34" s="8">
        <f t="shared" ca="1" si="60"/>
        <v>-89.022513058753461</v>
      </c>
      <c r="EL34" s="8" t="str">
        <f t="shared" ca="1" si="60"/>
        <v/>
      </c>
      <c r="EM34" s="8">
        <f t="shared" ca="1" si="61"/>
        <v>14</v>
      </c>
    </row>
    <row r="35" spans="1:143" x14ac:dyDescent="0.3">
      <c r="A35" s="6">
        <v>12</v>
      </c>
      <c r="B35" s="8" t="str">
        <f t="shared" ca="1" si="64"/>
        <v>Wilander</v>
      </c>
      <c r="DH35" s="8">
        <f t="shared" ca="1" si="59"/>
        <v>12.162217922013889</v>
      </c>
      <c r="DI35" s="8">
        <f t="shared" ca="1" si="59"/>
        <v>122.16221792201389</v>
      </c>
      <c r="DJ35" s="8">
        <f t="shared" ca="1" si="59"/>
        <v>17.162217922013888</v>
      </c>
      <c r="DK35" s="8">
        <f t="shared" ca="1" si="59"/>
        <v>-20.837782077986112</v>
      </c>
      <c r="DL35" s="8">
        <f t="shared" ca="1" si="59"/>
        <v>-65.837782077986105</v>
      </c>
      <c r="DM35" s="8">
        <f t="shared" ca="1" si="59"/>
        <v>-34.837782077986112</v>
      </c>
      <c r="DN35" s="8">
        <f t="shared" ca="1" si="59"/>
        <v>231.16221792201389</v>
      </c>
      <c r="DO35" s="8">
        <f t="shared" ca="1" si="59"/>
        <v>132.16221792201389</v>
      </c>
      <c r="DP35" s="8">
        <f t="shared" ca="1" si="59"/>
        <v>138.16221792201389</v>
      </c>
      <c r="DQ35" s="8">
        <f t="shared" ca="1" si="59"/>
        <v>16.162217922013888</v>
      </c>
      <c r="DR35" s="8">
        <f t="shared" ca="1" si="59"/>
        <v>0</v>
      </c>
      <c r="DS35" s="8">
        <f t="shared" ca="1" si="59"/>
        <v>0</v>
      </c>
      <c r="DT35" s="8">
        <f t="shared" ca="1" si="59"/>
        <v>0</v>
      </c>
      <c r="DU35" s="8">
        <f t="shared" ca="1" si="59"/>
        <v>0</v>
      </c>
      <c r="DV35" s="8">
        <f t="shared" ca="1" si="59"/>
        <v>0</v>
      </c>
      <c r="DW35" s="8" t="str">
        <f t="shared" ca="1" si="63"/>
        <v>Wilander</v>
      </c>
      <c r="DX35" s="8">
        <f t="shared" ca="1" si="60"/>
        <v>12.162217922013889</v>
      </c>
      <c r="DY35" s="8">
        <f t="shared" ca="1" si="60"/>
        <v>122.16221792201389</v>
      </c>
      <c r="DZ35" s="8">
        <f t="shared" ca="1" si="60"/>
        <v>17.162217922013888</v>
      </c>
      <c r="EA35" s="8">
        <f t="shared" ca="1" si="60"/>
        <v>-20.837782077986112</v>
      </c>
      <c r="EB35" s="8">
        <f t="shared" ca="1" si="60"/>
        <v>-65.837782077986105</v>
      </c>
      <c r="EC35" s="8">
        <f t="shared" ca="1" si="60"/>
        <v>-34.837782077986112</v>
      </c>
      <c r="ED35" s="8">
        <f t="shared" ca="1" si="60"/>
        <v>231.16221792201389</v>
      </c>
      <c r="EE35" s="8">
        <f t="shared" ca="1" si="60"/>
        <v>132.16221792201389</v>
      </c>
      <c r="EF35" s="8">
        <f t="shared" ca="1" si="60"/>
        <v>138.16221792201389</v>
      </c>
      <c r="EG35" s="8">
        <f t="shared" ca="1" si="60"/>
        <v>16.162217922013888</v>
      </c>
      <c r="EH35" s="8" t="str">
        <f t="shared" ca="1" si="60"/>
        <v/>
      </c>
      <c r="EI35" s="8" t="str">
        <f t="shared" ca="1" si="60"/>
        <v/>
      </c>
      <c r="EJ35" s="8" t="str">
        <f t="shared" ca="1" si="60"/>
        <v/>
      </c>
      <c r="EK35" s="8" t="str">
        <f t="shared" ca="1" si="60"/>
        <v/>
      </c>
      <c r="EL35" s="8" t="str">
        <f t="shared" ca="1" si="60"/>
        <v/>
      </c>
      <c r="EM35" s="8">
        <f t="shared" ca="1" si="61"/>
        <v>10</v>
      </c>
    </row>
    <row r="36" spans="1:143" x14ac:dyDescent="0.3">
      <c r="A36" s="8">
        <v>2</v>
      </c>
      <c r="B36" s="8" t="str">
        <f>VLOOKUP(A36,$A$2:$B$18, 2, FALSE)</f>
        <v>Connors</v>
      </c>
      <c r="DH36" s="8">
        <f t="shared" si="59"/>
        <v>273.16221792201389</v>
      </c>
      <c r="DI36" s="8">
        <f t="shared" si="59"/>
        <v>574.16221792201384</v>
      </c>
      <c r="DJ36" s="8">
        <f t="shared" si="59"/>
        <v>427.16221792201389</v>
      </c>
      <c r="DK36" s="8">
        <f t="shared" si="59"/>
        <v>102.16221792201389</v>
      </c>
      <c r="DL36" s="8">
        <f t="shared" si="59"/>
        <v>331.16221792201389</v>
      </c>
      <c r="DM36" s="8">
        <f t="shared" si="59"/>
        <v>331.16221792201389</v>
      </c>
      <c r="DN36" s="8">
        <f t="shared" si="59"/>
        <v>267.16221792201389</v>
      </c>
      <c r="DO36" s="8">
        <f t="shared" si="59"/>
        <v>268.16221792201389</v>
      </c>
      <c r="DP36" s="8">
        <f t="shared" si="59"/>
        <v>262.16221792201389</v>
      </c>
      <c r="DQ36" s="8">
        <f t="shared" si="59"/>
        <v>477.16221792201389</v>
      </c>
      <c r="DR36" s="8">
        <f t="shared" si="59"/>
        <v>96.162217922013895</v>
      </c>
      <c r="DS36" s="8">
        <f t="shared" si="59"/>
        <v>247.16221792201389</v>
      </c>
      <c r="DT36" s="8">
        <f t="shared" si="59"/>
        <v>160.16221792201389</v>
      </c>
      <c r="DU36" s="8">
        <f t="shared" si="59"/>
        <v>160.16221792201389</v>
      </c>
      <c r="DV36" s="8">
        <f t="shared" si="59"/>
        <v>215.16221792201389</v>
      </c>
      <c r="DW36" s="8" t="str">
        <f t="shared" si="63"/>
        <v>Connors</v>
      </c>
      <c r="DX36" s="8">
        <f t="shared" si="60"/>
        <v>273.16221792201389</v>
      </c>
      <c r="DY36" s="8">
        <f t="shared" si="60"/>
        <v>574.16221792201384</v>
      </c>
      <c r="DZ36" s="8">
        <f t="shared" si="60"/>
        <v>427.16221792201389</v>
      </c>
      <c r="EA36" s="8">
        <f t="shared" si="60"/>
        <v>102.16221792201389</v>
      </c>
      <c r="EB36" s="8">
        <f t="shared" si="60"/>
        <v>331.16221792201389</v>
      </c>
      <c r="EC36" s="8">
        <f t="shared" si="60"/>
        <v>331.16221792201389</v>
      </c>
      <c r="ED36" s="8">
        <f t="shared" si="60"/>
        <v>267.16221792201389</v>
      </c>
      <c r="EE36" s="8">
        <f t="shared" si="60"/>
        <v>268.16221792201389</v>
      </c>
      <c r="EF36" s="8">
        <f t="shared" si="60"/>
        <v>262.16221792201389</v>
      </c>
      <c r="EG36" s="8">
        <f t="shared" si="60"/>
        <v>477.16221792201389</v>
      </c>
      <c r="EH36" s="8">
        <f t="shared" si="60"/>
        <v>96.162217922013895</v>
      </c>
      <c r="EI36" s="8">
        <f t="shared" si="60"/>
        <v>247.16221792201389</v>
      </c>
      <c r="EJ36" s="8">
        <f t="shared" si="60"/>
        <v>160.16221792201389</v>
      </c>
      <c r="EK36" s="8">
        <f t="shared" si="60"/>
        <v>160.16221792201389</v>
      </c>
      <c r="EL36" s="8">
        <f t="shared" si="60"/>
        <v>215.16221792201389</v>
      </c>
      <c r="EM36" s="8">
        <f t="shared" si="61"/>
        <v>15</v>
      </c>
    </row>
  </sheetData>
  <mergeCells count="2">
    <mergeCell ref="A1:B1"/>
    <mergeCell ref="A6:B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O20"/>
  <sheetViews>
    <sheetView topLeftCell="B1" workbookViewId="0">
      <selection activeCell="Y3" sqref="Y3:AO3"/>
    </sheetView>
  </sheetViews>
  <sheetFormatPr defaultColWidth="10.796875" defaultRowHeight="15.6" x14ac:dyDescent="0.3"/>
  <cols>
    <col min="1" max="1" width="7.19921875" style="8" hidden="1" customWidth="1"/>
    <col min="2" max="2" width="2.296875" style="8" customWidth="1"/>
    <col min="3" max="3" width="10.796875" style="8"/>
    <col min="4" max="7" width="10.796875" style="8" hidden="1" customWidth="1"/>
    <col min="8" max="8" width="10.796875" style="8"/>
    <col min="9" max="12" width="10.796875" style="8" hidden="1" customWidth="1"/>
    <col min="13" max="13" width="10.796875" style="8"/>
    <col min="14" max="17" width="10.796875" style="8" hidden="1" customWidth="1"/>
    <col min="18" max="18" width="10.796875" style="8"/>
    <col min="19" max="22" width="10.796875" style="8" hidden="1" customWidth="1"/>
    <col min="23" max="24" width="10.796875" style="8"/>
    <col min="25" max="25" width="6.796875" style="8" customWidth="1"/>
    <col min="26" max="26" width="7.5" style="8" customWidth="1"/>
    <col min="27" max="27" width="5.796875" style="8" customWidth="1"/>
    <col min="28" max="28" width="5.69921875" style="8" customWidth="1"/>
    <col min="29" max="29" width="5" style="8" customWidth="1"/>
    <col min="30" max="30" width="6.796875" style="8" customWidth="1"/>
    <col min="31" max="35" width="8.69921875" style="8" customWidth="1"/>
    <col min="36" max="36" width="5.296875" style="8" customWidth="1"/>
    <col min="37" max="37" width="7" style="8" customWidth="1"/>
    <col min="38" max="38" width="8" style="8" customWidth="1"/>
    <col min="39" max="39" width="7.69921875" style="8" customWidth="1"/>
    <col min="40" max="40" width="5.796875" style="8" customWidth="1"/>
    <col min="41" max="41" width="6.796875" style="8" customWidth="1"/>
    <col min="42" max="16384" width="10.796875" style="8"/>
  </cols>
  <sheetData>
    <row r="1" spans="1:41" x14ac:dyDescent="0.3">
      <c r="A1" s="8" t="s">
        <v>2</v>
      </c>
      <c r="D1" s="8" t="s">
        <v>3</v>
      </c>
      <c r="Y1" s="8" t="str">
        <f t="array" ref="Y1:AB1">TRANSPOSE('Australian Open'!B2:B5)</f>
        <v>Federer</v>
      </c>
      <c r="Z1" s="8" t="str">
        <v>Djokovic</v>
      </c>
      <c r="AA1" s="8" t="str">
        <v>Nadal</v>
      </c>
      <c r="AB1" s="8" t="str">
        <v>Agassi</v>
      </c>
      <c r="AC1" s="8" t="str">
        <f t="array" ref="AC1:AN1">TRANSPOSE('Australian Open'!B7:B18)</f>
        <v>Lendl</v>
      </c>
      <c r="AD1" s="8" t="str">
        <v>Murray</v>
      </c>
      <c r="AE1" s="8" t="str">
        <v>Edberg</v>
      </c>
      <c r="AF1" s="8" t="str">
        <v>Sampras</v>
      </c>
      <c r="AG1" s="8" t="str">
        <v>Wilander</v>
      </c>
      <c r="AH1" s="8" t="str">
        <v>Courier</v>
      </c>
      <c r="AI1" s="8" t="str">
        <v>Wawrinka</v>
      </c>
      <c r="AJ1" s="8" t="str">
        <v>Vilas</v>
      </c>
      <c r="AK1" s="8" t="str">
        <v>Becker</v>
      </c>
      <c r="AL1" s="8" t="str">
        <v>McEnroe</v>
      </c>
      <c r="AM1" s="8" t="str">
        <v>Connors</v>
      </c>
      <c r="AN1" s="8" t="str">
        <v>Borg</v>
      </c>
      <c r="AO1" s="8" t="s">
        <v>21</v>
      </c>
    </row>
    <row r="2" spans="1:41" x14ac:dyDescent="0.3">
      <c r="Y2" s="8">
        <f t="shared" ref="Y2:AO2" ca="1" si="0">IF(Y1=$X$14,1,0)</f>
        <v>0</v>
      </c>
      <c r="Z2" s="8">
        <f t="shared" ca="1" si="0"/>
        <v>0</v>
      </c>
      <c r="AA2" s="8">
        <f t="shared" ca="1" si="0"/>
        <v>0</v>
      </c>
      <c r="AB2" s="8">
        <f t="shared" ca="1" si="0"/>
        <v>0</v>
      </c>
      <c r="AC2" s="8">
        <f t="shared" ca="1" si="0"/>
        <v>0</v>
      </c>
      <c r="AD2" s="8">
        <f t="shared" ca="1" si="0"/>
        <v>1</v>
      </c>
      <c r="AE2" s="8">
        <f t="shared" ca="1" si="0"/>
        <v>0</v>
      </c>
      <c r="AF2" s="8">
        <f t="shared" ca="1" si="0"/>
        <v>0</v>
      </c>
      <c r="AG2" s="8">
        <f t="shared" ca="1" si="0"/>
        <v>0</v>
      </c>
      <c r="AH2" s="8">
        <f t="shared" ca="1" si="0"/>
        <v>0</v>
      </c>
      <c r="AI2" s="8">
        <f t="shared" ca="1" si="0"/>
        <v>0</v>
      </c>
      <c r="AJ2" s="8">
        <f t="shared" ca="1" si="0"/>
        <v>0</v>
      </c>
      <c r="AK2" s="8">
        <f t="shared" ca="1" si="0"/>
        <v>0</v>
      </c>
      <c r="AL2" s="8">
        <f t="shared" ca="1" si="0"/>
        <v>0</v>
      </c>
      <c r="AM2" s="8">
        <f t="shared" ca="1" si="0"/>
        <v>0</v>
      </c>
      <c r="AN2" s="8">
        <f t="shared" ca="1" si="0"/>
        <v>0</v>
      </c>
      <c r="AO2" s="8">
        <f t="shared" ca="1" si="0"/>
        <v>0</v>
      </c>
    </row>
    <row r="3" spans="1:41" x14ac:dyDescent="0.3">
      <c r="Y3" s="8">
        <v>776</v>
      </c>
      <c r="Z3" s="8">
        <v>182</v>
      </c>
      <c r="AA3" s="8">
        <v>15</v>
      </c>
      <c r="AB3" s="8">
        <v>15</v>
      </c>
      <c r="AC3" s="8">
        <v>12</v>
      </c>
      <c r="AD3" s="8">
        <v>102</v>
      </c>
      <c r="AE3" s="8">
        <v>18</v>
      </c>
      <c r="AF3" s="8">
        <v>82</v>
      </c>
      <c r="AG3" s="8">
        <v>2</v>
      </c>
      <c r="AH3" s="8">
        <v>2</v>
      </c>
      <c r="AI3" s="8">
        <v>0</v>
      </c>
      <c r="AJ3" s="8">
        <v>0</v>
      </c>
      <c r="AK3" s="8">
        <v>202</v>
      </c>
      <c r="AL3" s="8">
        <v>63</v>
      </c>
      <c r="AM3" s="8">
        <v>183</v>
      </c>
      <c r="AN3" s="8">
        <v>345</v>
      </c>
      <c r="AO3" s="8">
        <v>0</v>
      </c>
    </row>
    <row r="4" spans="1:41" x14ac:dyDescent="0.3">
      <c r="X4" s="8">
        <f ca="1">SUM(Y4:AN4)</f>
        <v>2000</v>
      </c>
      <c r="Y4" s="8">
        <f ca="1">Y2+Y3</f>
        <v>776</v>
      </c>
      <c r="Z4" s="8">
        <f t="shared" ref="Z4:AO4" ca="1" si="1">Z2+Z3</f>
        <v>182</v>
      </c>
      <c r="AA4" s="8">
        <f t="shared" ca="1" si="1"/>
        <v>15</v>
      </c>
      <c r="AB4" s="8">
        <f t="shared" ca="1" si="1"/>
        <v>15</v>
      </c>
      <c r="AC4" s="8">
        <f t="shared" ca="1" si="1"/>
        <v>12</v>
      </c>
      <c r="AD4" s="8">
        <f t="shared" ca="1" si="1"/>
        <v>103</v>
      </c>
      <c r="AE4" s="8">
        <f t="shared" ca="1" si="1"/>
        <v>18</v>
      </c>
      <c r="AF4" s="8">
        <f t="shared" ca="1" si="1"/>
        <v>82</v>
      </c>
      <c r="AG4" s="8">
        <f t="shared" ca="1" si="1"/>
        <v>2</v>
      </c>
      <c r="AH4" s="8">
        <f t="shared" ca="1" si="1"/>
        <v>2</v>
      </c>
      <c r="AI4" s="8">
        <f t="shared" ca="1" si="1"/>
        <v>0</v>
      </c>
      <c r="AJ4" s="8">
        <f t="shared" ca="1" si="1"/>
        <v>0</v>
      </c>
      <c r="AK4" s="8">
        <f t="shared" ca="1" si="1"/>
        <v>202</v>
      </c>
      <c r="AL4" s="8">
        <f t="shared" ca="1" si="1"/>
        <v>63</v>
      </c>
      <c r="AM4" s="8">
        <f t="shared" ca="1" si="1"/>
        <v>183</v>
      </c>
      <c r="AN4" s="8">
        <f t="shared" ca="1" si="1"/>
        <v>345</v>
      </c>
      <c r="AO4" s="8">
        <f t="shared" ca="1" si="1"/>
        <v>0</v>
      </c>
    </row>
    <row r="5" spans="1:41" x14ac:dyDescent="0.3">
      <c r="A5" s="8">
        <v>2</v>
      </c>
      <c r="B5" s="8">
        <f>Wimbledon!A21</f>
        <v>1</v>
      </c>
      <c r="C5" s="8" t="str">
        <f>Wimbledon!B21</f>
        <v>Federer</v>
      </c>
      <c r="D5" s="8">
        <f>A5</f>
        <v>2</v>
      </c>
      <c r="E5" s="8">
        <f ca="1">RANDBETWEEN(1,F5)</f>
        <v>5</v>
      </c>
      <c r="F5" s="8">
        <f>VLOOKUP(C5,Wimbledon!DW21:EM36, 17, FALSE)</f>
        <v>15</v>
      </c>
      <c r="G5" s="4">
        <f ca="1">HLOOKUP(E5, Wimbledon!$DX$20:$EL$36,$A5, FALSE)</f>
        <v>472.30287839006496</v>
      </c>
      <c r="Y5" s="9">
        <f ca="1">Y4/$X$4</f>
        <v>0.38800000000000001</v>
      </c>
      <c r="Z5" s="9">
        <f t="shared" ref="Z5:AO5" ca="1" si="2">Z4/$X$4</f>
        <v>9.0999999999999998E-2</v>
      </c>
      <c r="AA5" s="9">
        <f t="shared" ca="1" si="2"/>
        <v>7.4999999999999997E-3</v>
      </c>
      <c r="AB5" s="9">
        <f t="shared" ca="1" si="2"/>
        <v>7.4999999999999997E-3</v>
      </c>
      <c r="AC5" s="9">
        <f t="shared" ca="1" si="2"/>
        <v>6.0000000000000001E-3</v>
      </c>
      <c r="AD5" s="9">
        <f t="shared" ca="1" si="2"/>
        <v>5.1499999999999997E-2</v>
      </c>
      <c r="AE5" s="9">
        <f t="shared" ca="1" si="2"/>
        <v>8.9999999999999993E-3</v>
      </c>
      <c r="AF5" s="9">
        <f t="shared" ca="1" si="2"/>
        <v>4.1000000000000002E-2</v>
      </c>
      <c r="AG5" s="9">
        <f t="shared" ca="1" si="2"/>
        <v>1E-3</v>
      </c>
      <c r="AH5" s="9">
        <f t="shared" ca="1" si="2"/>
        <v>1E-3</v>
      </c>
      <c r="AI5" s="9">
        <f t="shared" ca="1" si="2"/>
        <v>0</v>
      </c>
      <c r="AJ5" s="9">
        <f t="shared" ca="1" si="2"/>
        <v>0</v>
      </c>
      <c r="AK5" s="9">
        <f t="shared" ca="1" si="2"/>
        <v>0.10100000000000001</v>
      </c>
      <c r="AL5" s="9">
        <f t="shared" ca="1" si="2"/>
        <v>3.15E-2</v>
      </c>
      <c r="AM5" s="9">
        <f t="shared" ca="1" si="2"/>
        <v>9.1499999999999998E-2</v>
      </c>
      <c r="AN5" s="9">
        <f t="shared" ca="1" si="2"/>
        <v>0.17249999999999999</v>
      </c>
      <c r="AO5" s="9">
        <f t="shared" ca="1" si="2"/>
        <v>0</v>
      </c>
    </row>
    <row r="6" spans="1:41" x14ac:dyDescent="0.3">
      <c r="A6" s="8">
        <v>3</v>
      </c>
      <c r="B6" s="6">
        <f>Wimbledon!A22</f>
        <v>1</v>
      </c>
      <c r="C6" s="8" t="str">
        <f ca="1">Wimbledon!B22</f>
        <v>Wawrinka</v>
      </c>
      <c r="D6" s="8">
        <f t="shared" ref="D6:D20" si="3">A6</f>
        <v>3</v>
      </c>
      <c r="E6" s="8">
        <f t="shared" ref="E6:E20" ca="1" si="4">RANDBETWEEN(1,F6)</f>
        <v>10</v>
      </c>
      <c r="F6" s="8">
        <f ca="1">VLOOKUP(C6,Wimbledon!DW22:EM37, 17, FALSE)</f>
        <v>14</v>
      </c>
      <c r="G6" s="4">
        <f ca="1">HLOOKUP(E6, Wimbledon!$DX$20:$EL$36,$A6, FALSE)</f>
        <v>246.22788275536357</v>
      </c>
      <c r="H6" s="8" t="str">
        <f ca="1">IF(G5&gt;G6, C5, C6)</f>
        <v>Federer</v>
      </c>
      <c r="I6" s="8">
        <f ca="1">VLOOKUP(H6, $C$5:$D$20, 2, FALSE)</f>
        <v>2</v>
      </c>
      <c r="J6" s="8">
        <f ca="1">RANDBETWEEN(1,K6)</f>
        <v>8</v>
      </c>
      <c r="K6" s="8">
        <f ca="1">VLOOKUP(H6, $C$5:$F$20, 4, FALSE)</f>
        <v>15</v>
      </c>
      <c r="L6" s="4">
        <f ca="1">HLOOKUP(J6, Wimbledon!$DX$20:$EL$36,I6, FALSE)</f>
        <v>545.30287839006496</v>
      </c>
    </row>
    <row r="7" spans="1:41" x14ac:dyDescent="0.3">
      <c r="A7" s="8">
        <v>4</v>
      </c>
      <c r="B7" s="6">
        <f>Wimbledon!A23</f>
        <v>2</v>
      </c>
      <c r="C7" s="8" t="str">
        <f ca="1">Wimbledon!B23</f>
        <v>Nadal</v>
      </c>
      <c r="D7" s="8">
        <f t="shared" si="3"/>
        <v>4</v>
      </c>
      <c r="E7" s="8">
        <f t="shared" ca="1" si="4"/>
        <v>5</v>
      </c>
      <c r="F7" s="8">
        <f ca="1">VLOOKUP(C7,Wimbledon!DW23:EM38, 17, FALSE)</f>
        <v>13</v>
      </c>
      <c r="G7" s="4">
        <f ca="1">HLOOKUP(E7, Wimbledon!$DX$20:$EL$36,$A7, FALSE)</f>
        <v>444.22788275536357</v>
      </c>
      <c r="H7" s="8" t="str">
        <f ca="1">IF(G7&gt;G8, C7, C8)</f>
        <v>Nadal</v>
      </c>
      <c r="I7" s="8">
        <f ca="1">VLOOKUP(H7, $C$5:$D$20, 2, FALSE)</f>
        <v>4</v>
      </c>
      <c r="J7" s="8">
        <f ca="1">RANDBETWEEN(1,K7)</f>
        <v>1</v>
      </c>
      <c r="K7" s="8">
        <f ca="1">VLOOKUP(H7, $C$5:$F$20, 4, FALSE)</f>
        <v>13</v>
      </c>
      <c r="L7" s="4">
        <f ca="1">HLOOKUP(J7, Wimbledon!$DX$20:$EL$36,I7, FALSE)</f>
        <v>7.2278827553635772</v>
      </c>
      <c r="Y7" s="9">
        <v>0.39</v>
      </c>
      <c r="Z7" s="9">
        <v>8.5000000000000006E-2</v>
      </c>
      <c r="AA7" s="9">
        <v>1.2E-2</v>
      </c>
      <c r="AB7" s="9">
        <v>8.0000000000000002E-3</v>
      </c>
      <c r="AC7" s="9">
        <v>5.0000000000000001E-3</v>
      </c>
      <c r="AD7" s="9">
        <v>4.2999999999999997E-2</v>
      </c>
      <c r="AE7" s="9">
        <v>0.01</v>
      </c>
      <c r="AF7" s="9">
        <v>0.04</v>
      </c>
      <c r="AG7" s="9">
        <v>0</v>
      </c>
      <c r="AH7" s="9">
        <v>0</v>
      </c>
      <c r="AI7" s="9">
        <v>0</v>
      </c>
      <c r="AJ7" s="9">
        <v>0</v>
      </c>
      <c r="AK7" s="9">
        <v>0.113</v>
      </c>
      <c r="AL7" s="9">
        <v>2.4E-2</v>
      </c>
      <c r="AM7" s="9">
        <v>9.4E-2</v>
      </c>
      <c r="AN7" s="9">
        <v>0.17599999999999999</v>
      </c>
      <c r="AO7" s="9">
        <v>0</v>
      </c>
    </row>
    <row r="8" spans="1:41" x14ac:dyDescent="0.3">
      <c r="A8" s="8">
        <v>5</v>
      </c>
      <c r="B8" s="6">
        <f>Wimbledon!A24</f>
        <v>3</v>
      </c>
      <c r="C8" s="8" t="str">
        <f ca="1">Wimbledon!B24</f>
        <v>Lendl</v>
      </c>
      <c r="D8" s="8">
        <f t="shared" si="3"/>
        <v>5</v>
      </c>
      <c r="E8" s="8">
        <f t="shared" ca="1" si="4"/>
        <v>7</v>
      </c>
      <c r="F8" s="8">
        <f ca="1">VLOOKUP(C8,Wimbledon!DW24:EM39, 17, FALSE)</f>
        <v>13</v>
      </c>
      <c r="G8" s="4">
        <f ca="1">HLOOKUP(E8, Wimbledon!$DX$20:$EL$36,$A8, FALSE)</f>
        <v>326.16221792201389</v>
      </c>
      <c r="M8" s="8" t="str">
        <f ca="1">IF(L6&gt;L7, H6, H7)</f>
        <v>Federer</v>
      </c>
      <c r="N8" s="8">
        <f ca="1">VLOOKUP(M8, $H$6:$I$19, 2, FALSE)</f>
        <v>2</v>
      </c>
      <c r="O8" s="8">
        <f ca="1">RANDBETWEEN(1,P8)</f>
        <v>12</v>
      </c>
      <c r="P8" s="8">
        <f ca="1">VLOOKUP(M8, $H$6:$L$19, 4, FALSE)</f>
        <v>15</v>
      </c>
      <c r="Q8" s="4">
        <f ca="1">HLOOKUP(O8, Wimbledon!$DX$20:$EL$36,N8, FALSE)</f>
        <v>395.30287839006496</v>
      </c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</row>
    <row r="9" spans="1:41" x14ac:dyDescent="0.3">
      <c r="A9" s="8">
        <v>6</v>
      </c>
      <c r="B9" s="6">
        <f>Wimbledon!A25</f>
        <v>4</v>
      </c>
      <c r="C9" s="8" t="str">
        <f ca="1">Wimbledon!B25</f>
        <v>Vilas</v>
      </c>
      <c r="D9" s="8">
        <f t="shared" si="3"/>
        <v>6</v>
      </c>
      <c r="E9" s="8">
        <f t="shared" ca="1" si="4"/>
        <v>7</v>
      </c>
      <c r="F9" s="8">
        <f ca="1">VLOOKUP(C9,Wimbledon!DW25:EM40, 17, FALSE)</f>
        <v>11</v>
      </c>
      <c r="G9" s="4">
        <f ca="1">HLOOKUP(E9, Wimbledon!$DX$20:$EL$36,$A9, FALSE)</f>
        <v>30.162217922013877</v>
      </c>
      <c r="M9" s="8" t="str">
        <f ca="1">IF(L10&gt;L11, H10, H11)</f>
        <v>Borg</v>
      </c>
      <c r="N9" s="8">
        <f ca="1">VLOOKUP(M9, $H$6:$I$19, 2, FALSE)</f>
        <v>8</v>
      </c>
      <c r="O9" s="8">
        <f ca="1">RANDBETWEEN(1,P9)</f>
        <v>6</v>
      </c>
      <c r="P9" s="8">
        <f ca="1">VLOOKUP(M9, $H$6:$L$19, 4, FALSE)</f>
        <v>10</v>
      </c>
      <c r="Q9" s="4">
        <f ca="1">HLOOKUP(O9, Wimbledon!$DX$20:$EL$36,N9, FALSE)</f>
        <v>453.16221792201389</v>
      </c>
    </row>
    <row r="10" spans="1:41" x14ac:dyDescent="0.3">
      <c r="A10" s="8">
        <v>7</v>
      </c>
      <c r="B10" s="6">
        <f>Wimbledon!A26</f>
        <v>5</v>
      </c>
      <c r="C10" s="8" t="str">
        <f ca="1">Wimbledon!B26</f>
        <v>McEnroe</v>
      </c>
      <c r="D10" s="8">
        <f t="shared" si="3"/>
        <v>7</v>
      </c>
      <c r="E10" s="8">
        <f t="shared" ca="1" si="4"/>
        <v>14</v>
      </c>
      <c r="F10" s="8">
        <f ca="1">VLOOKUP(C10,Wimbledon!DW26:EM41, 17, FALSE)</f>
        <v>14</v>
      </c>
      <c r="G10" s="4">
        <f ca="1">HLOOKUP(E10, Wimbledon!$DX$20:$EL$36,$A10, FALSE)</f>
        <v>220.16221792201389</v>
      </c>
      <c r="H10" s="8" t="str">
        <f ca="1">IF(G9&gt;G10, C9, C10)</f>
        <v>McEnroe</v>
      </c>
      <c r="I10" s="8">
        <f ca="1">VLOOKUP(H10, $C$5:$D$20, 2, FALSE)</f>
        <v>7</v>
      </c>
      <c r="J10" s="8">
        <f ca="1">RANDBETWEEN(1,K10)</f>
        <v>8</v>
      </c>
      <c r="K10" s="8">
        <f ca="1">VLOOKUP(H10, $C$5:$F$20, 4, FALSE)</f>
        <v>14</v>
      </c>
      <c r="L10" s="4">
        <f ca="1">HLOOKUP(J10, Wimbledon!$DX$20:$EL$36,I10, FALSE)</f>
        <v>465.16221792201389</v>
      </c>
    </row>
    <row r="11" spans="1:41" x14ac:dyDescent="0.3">
      <c r="A11" s="8">
        <v>8</v>
      </c>
      <c r="B11" s="6">
        <f>Wimbledon!A27</f>
        <v>6</v>
      </c>
      <c r="C11" s="8" t="str">
        <f ca="1">Wimbledon!B27</f>
        <v>Borg</v>
      </c>
      <c r="D11" s="8">
        <f t="shared" si="3"/>
        <v>8</v>
      </c>
      <c r="E11" s="8">
        <f t="shared" ca="1" si="4"/>
        <v>8</v>
      </c>
      <c r="F11" s="8">
        <f ca="1">VLOOKUP(C11,Wimbledon!DW27:EM42, 17, FALSE)</f>
        <v>10</v>
      </c>
      <c r="G11" s="4">
        <f ca="1">HLOOKUP(E11, Wimbledon!$DX$20:$EL$36,$A11, FALSE)</f>
        <v>481.16221792201389</v>
      </c>
      <c r="H11" s="8" t="str">
        <f ca="1">IF(G11&gt;G12, C11, C12)</f>
        <v>Borg</v>
      </c>
      <c r="I11" s="8">
        <f ca="1">VLOOKUP(H11, $C$5:$D$20, 2, FALSE)</f>
        <v>8</v>
      </c>
      <c r="J11" s="8">
        <f ca="1">RANDBETWEEN(1,K11)</f>
        <v>8</v>
      </c>
      <c r="K11" s="8">
        <f ca="1">VLOOKUP(H11, $C$5:$F$20, 4, FALSE)</f>
        <v>10</v>
      </c>
      <c r="L11" s="4">
        <f ca="1">HLOOKUP(J11, Wimbledon!$DX$20:$EL$36,I11, FALSE)</f>
        <v>481.16221792201389</v>
      </c>
    </row>
    <row r="12" spans="1:41" x14ac:dyDescent="0.3">
      <c r="A12" s="8">
        <v>9</v>
      </c>
      <c r="B12" s="8">
        <f ca="1">Wimbledon!A28</f>
        <v>3</v>
      </c>
      <c r="C12" s="8" t="str">
        <f ca="1">Wimbledon!B28</f>
        <v>Djokovic</v>
      </c>
      <c r="D12" s="8">
        <f t="shared" si="3"/>
        <v>9</v>
      </c>
      <c r="E12" s="8">
        <f t="shared" ca="1" si="4"/>
        <v>6</v>
      </c>
      <c r="F12" s="8">
        <f ca="1">VLOOKUP(C12,Wimbledon!DW28:EM43, 17, FALSE)</f>
        <v>14</v>
      </c>
      <c r="G12" s="4">
        <f ca="1">HLOOKUP(E12, Wimbledon!$DX$20:$EL$36,$A12, FALSE)</f>
        <v>198.22788275536357</v>
      </c>
      <c r="R12" s="8" t="str">
        <f ca="1">IF(Q8&gt;Q9, M8, M9)</f>
        <v>Borg</v>
      </c>
      <c r="S12" s="8">
        <f ca="1">VLOOKUP(R12, $M$8:$N$17, 2, FALSE)</f>
        <v>8</v>
      </c>
      <c r="T12" s="8">
        <f ca="1">RANDBETWEEN(1,U12)</f>
        <v>1</v>
      </c>
      <c r="U12" s="8">
        <f ca="1">VLOOKUP(R12, $M$8:$Q$17, 4, FALSE)</f>
        <v>10</v>
      </c>
      <c r="V12" s="4">
        <f ca="1">HLOOKUP(T12, Wimbledon!$DX$20:$EL$36,S12, FALSE)</f>
        <v>102.16221792201388</v>
      </c>
    </row>
    <row r="13" spans="1:41" x14ac:dyDescent="0.3">
      <c r="A13" s="8">
        <v>10</v>
      </c>
      <c r="B13" s="8">
        <f ca="1">Wimbledon!A29</f>
        <v>4</v>
      </c>
      <c r="C13" s="8" t="str">
        <f ca="1">Wimbledon!B29</f>
        <v>Becker</v>
      </c>
      <c r="D13" s="8">
        <f t="shared" si="3"/>
        <v>10</v>
      </c>
      <c r="E13" s="8">
        <f t="shared" ca="1" si="4"/>
        <v>7</v>
      </c>
      <c r="F13" s="8">
        <f ca="1">VLOOKUP(C13,Wimbledon!DW29:EM44, 17, FALSE)</f>
        <v>14</v>
      </c>
      <c r="G13" s="4">
        <f ca="1">HLOOKUP(E13, Wimbledon!$DX$20:$EL$36,$A13, FALSE)</f>
        <v>340.16221792201389</v>
      </c>
      <c r="R13" s="8" t="str">
        <f ca="1">IF(Q16&gt;Q17, M16, M17)</f>
        <v>Murray</v>
      </c>
      <c r="S13" s="8">
        <f ca="1">VLOOKUP(R13, $M$8:$N$17, 2, FALSE)</f>
        <v>14</v>
      </c>
      <c r="T13" s="8">
        <f ca="1">RANDBETWEEN(1,U13)</f>
        <v>6</v>
      </c>
      <c r="U13" s="8">
        <f ca="1">VLOOKUP(R13, $M$8:$Q$17, 4, FALSE)</f>
        <v>12</v>
      </c>
      <c r="V13" s="4">
        <f ca="1">HLOOKUP(T13, Wimbledon!$DX$20:$EL$36,S13, FALSE)</f>
        <v>275.22788275536357</v>
      </c>
    </row>
    <row r="14" spans="1:41" x14ac:dyDescent="0.3">
      <c r="A14" s="8">
        <v>11</v>
      </c>
      <c r="B14" s="6">
        <f>Wimbledon!A30</f>
        <v>7</v>
      </c>
      <c r="C14" s="8" t="str">
        <f ca="1">Wimbledon!B30</f>
        <v>Courier</v>
      </c>
      <c r="D14" s="8">
        <f t="shared" si="3"/>
        <v>11</v>
      </c>
      <c r="E14" s="8">
        <f t="shared" ca="1" si="4"/>
        <v>10</v>
      </c>
      <c r="F14" s="8">
        <f ca="1">VLOOKUP(C14,Wimbledon!DW30:EM45, 17, FALSE)</f>
        <v>11</v>
      </c>
      <c r="G14" s="4">
        <f ca="1">HLOOKUP(E14, Wimbledon!$DX$20:$EL$36,$A14, FALSE)</f>
        <v>-29.837782077986112</v>
      </c>
      <c r="H14" s="8" t="str">
        <f ca="1">IF(G13&gt;G14, C13, C14)</f>
        <v>Becker</v>
      </c>
      <c r="I14" s="8">
        <f ca="1">VLOOKUP(H14, $C$5:$D$20, 2, FALSE)</f>
        <v>10</v>
      </c>
      <c r="J14" s="8">
        <f ca="1">RANDBETWEEN(1,K14)</f>
        <v>13</v>
      </c>
      <c r="K14" s="8">
        <f ca="1">VLOOKUP(H14, $C$5:$F$20, 4, FALSE)</f>
        <v>14</v>
      </c>
      <c r="L14" s="4">
        <f ca="1">HLOOKUP(J14, Wimbledon!$DX$20:$EL$36,I14, FALSE)</f>
        <v>181.16221792201389</v>
      </c>
      <c r="W14" s="8" t="s">
        <v>4</v>
      </c>
      <c r="X14" s="8" t="str">
        <f ca="1">IF(V12&gt;V13,R12,R13)</f>
        <v>Murray</v>
      </c>
    </row>
    <row r="15" spans="1:41" x14ac:dyDescent="0.3">
      <c r="A15" s="8">
        <v>12</v>
      </c>
      <c r="B15" s="6">
        <f>Wimbledon!A31</f>
        <v>8</v>
      </c>
      <c r="C15" s="8" t="str">
        <f ca="1">Wimbledon!B31</f>
        <v>Agassi</v>
      </c>
      <c r="D15" s="8">
        <f t="shared" si="3"/>
        <v>12</v>
      </c>
      <c r="E15" s="8">
        <f t="shared" ca="1" si="4"/>
        <v>12</v>
      </c>
      <c r="F15" s="8">
        <f ca="1">VLOOKUP(C15,Wimbledon!DW31:EM46, 17, FALSE)</f>
        <v>14</v>
      </c>
      <c r="G15" s="4">
        <f ca="1">HLOOKUP(E15, Wimbledon!$DX$20:$EL$36,$A15, FALSE)</f>
        <v>-60.114564009675561</v>
      </c>
      <c r="H15" s="8" t="str">
        <f ca="1">IF(G15&gt;G16, C15, C16)</f>
        <v>Edberg</v>
      </c>
      <c r="I15" s="8">
        <f ca="1">VLOOKUP(H15, $C$5:$D$20, 2, FALSE)</f>
        <v>13</v>
      </c>
      <c r="J15" s="8">
        <f ca="1">RANDBETWEEN(1,K15)</f>
        <v>4</v>
      </c>
      <c r="K15" s="8">
        <f ca="1">VLOOKUP(H15, $C$5:$F$20, 4, FALSE)</f>
        <v>14</v>
      </c>
      <c r="L15" s="4">
        <f ca="1">HLOOKUP(J15, Wimbledon!$DX$20:$EL$36,I15, FALSE)</f>
        <v>62.16221792201388</v>
      </c>
    </row>
    <row r="16" spans="1:41" x14ac:dyDescent="0.3">
      <c r="A16" s="8">
        <v>13</v>
      </c>
      <c r="B16" s="6">
        <f>Wimbledon!A32</f>
        <v>9</v>
      </c>
      <c r="C16" s="8" t="str">
        <f ca="1">Wimbledon!B32</f>
        <v>Edberg</v>
      </c>
      <c r="D16" s="8">
        <f t="shared" si="3"/>
        <v>13</v>
      </c>
      <c r="E16" s="8">
        <f t="shared" ca="1" si="4"/>
        <v>1</v>
      </c>
      <c r="F16" s="8">
        <f ca="1">VLOOKUP(C16,Wimbledon!DW32:EM47, 17, FALSE)</f>
        <v>14</v>
      </c>
      <c r="G16" s="4">
        <f ca="1">HLOOKUP(E16, Wimbledon!$DX$20:$EL$36,$A16, FALSE)</f>
        <v>62.16221792201388</v>
      </c>
      <c r="M16" s="8" t="str">
        <f ca="1">IF(L14&gt;L15, H14, H15)</f>
        <v>Becker</v>
      </c>
      <c r="N16" s="8">
        <f ca="1">VLOOKUP(M16, $H$6:$I$19, 2, FALSE)</f>
        <v>10</v>
      </c>
      <c r="O16" s="8">
        <f ca="1">RANDBETWEEN(1,P16)</f>
        <v>13</v>
      </c>
      <c r="P16" s="8">
        <f ca="1">VLOOKUP(M16, $H$6:$L$19, 4, FALSE)</f>
        <v>14</v>
      </c>
      <c r="Q16" s="4">
        <f ca="1">HLOOKUP(O16, Wimbledon!$DX$20:$EL$36,N16, FALSE)</f>
        <v>181.16221792201389</v>
      </c>
    </row>
    <row r="17" spans="1:17" x14ac:dyDescent="0.3">
      <c r="A17" s="8">
        <v>14</v>
      </c>
      <c r="B17" s="6">
        <f>Wimbledon!A33</f>
        <v>10</v>
      </c>
      <c r="C17" s="8" t="str">
        <f ca="1">Wimbledon!B33</f>
        <v>Murray</v>
      </c>
      <c r="D17" s="8">
        <f t="shared" si="3"/>
        <v>14</v>
      </c>
      <c r="E17" s="8">
        <f t="shared" ca="1" si="4"/>
        <v>3</v>
      </c>
      <c r="F17" s="8">
        <f ca="1">VLOOKUP(C17,Wimbledon!DW33:EM48, 17, FALSE)</f>
        <v>12</v>
      </c>
      <c r="G17" s="4">
        <f ca="1">HLOOKUP(E17, Wimbledon!$DX$20:$EL$36,$A17, FALSE)</f>
        <v>201.22788275536357</v>
      </c>
      <c r="M17" s="8" t="str">
        <f ca="1">IF(L18&gt;L19, H18, H19)</f>
        <v>Murray</v>
      </c>
      <c r="N17" s="8">
        <f ca="1">VLOOKUP(M17, $H$6:$I$19, 2, FALSE)</f>
        <v>14</v>
      </c>
      <c r="O17" s="8">
        <f ca="1">RANDBETWEEN(1,P17)</f>
        <v>5</v>
      </c>
      <c r="P17" s="8">
        <f ca="1">VLOOKUP(M17, $H$6:$L$19, 4, FALSE)</f>
        <v>12</v>
      </c>
      <c r="Q17" s="4">
        <f ca="1">HLOOKUP(O17, Wimbledon!$DX$20:$EL$36,N17, FALSE)</f>
        <v>299.22788275536357</v>
      </c>
    </row>
    <row r="18" spans="1:17" x14ac:dyDescent="0.3">
      <c r="A18" s="8">
        <v>15</v>
      </c>
      <c r="B18" s="6">
        <f>Wimbledon!A34</f>
        <v>11</v>
      </c>
      <c r="C18" s="8" t="str">
        <f ca="1">Wimbledon!B34</f>
        <v>Sampras</v>
      </c>
      <c r="D18" s="8">
        <f t="shared" si="3"/>
        <v>15</v>
      </c>
      <c r="E18" s="8">
        <f t="shared" ca="1" si="4"/>
        <v>1</v>
      </c>
      <c r="F18" s="8">
        <f ca="1">VLOOKUP(C18,Wimbledon!DW34:EM49, 17, FALSE)</f>
        <v>14</v>
      </c>
      <c r="G18" s="4">
        <f ca="1">HLOOKUP(E18, Wimbledon!$DX$20:$EL$36,$A18, FALSE)</f>
        <v>-90.022513058753461</v>
      </c>
      <c r="H18" s="8" t="str">
        <f ca="1">IF(G17&gt;G18, C17, C18)</f>
        <v>Murray</v>
      </c>
      <c r="I18" s="8">
        <f ca="1">VLOOKUP(H18, $C$5:$D$20, 2, FALSE)</f>
        <v>14</v>
      </c>
      <c r="J18" s="8">
        <f ca="1">RANDBETWEEN(1,K18)</f>
        <v>11</v>
      </c>
      <c r="K18" s="8">
        <f ca="1">VLOOKUP(H18, $C$5:$F$20, 4, FALSE)</f>
        <v>12</v>
      </c>
      <c r="L18" s="4">
        <f ca="1">HLOOKUP(J18, Wimbledon!$DX$20:$EL$36,I18, FALSE)</f>
        <v>434.22788275536357</v>
      </c>
    </row>
    <row r="19" spans="1:17" x14ac:dyDescent="0.3">
      <c r="A19" s="8">
        <v>16</v>
      </c>
      <c r="B19" s="6">
        <f>Wimbledon!A35</f>
        <v>12</v>
      </c>
      <c r="C19" s="8" t="str">
        <f ca="1">Wimbledon!B35</f>
        <v>Wilander</v>
      </c>
      <c r="D19" s="8">
        <f t="shared" si="3"/>
        <v>16</v>
      </c>
      <c r="E19" s="8">
        <f t="shared" ca="1" si="4"/>
        <v>8</v>
      </c>
      <c r="F19" s="8">
        <f ca="1">VLOOKUP(C19,Wimbledon!DW35:EM50, 17, FALSE)</f>
        <v>10</v>
      </c>
      <c r="G19" s="4">
        <f ca="1">HLOOKUP(E19, Wimbledon!$DX$20:$EL$36,$A19, FALSE)</f>
        <v>132.16221792201389</v>
      </c>
      <c r="H19" s="8" t="str">
        <f ca="1">IF(G19&gt;G20, C19, C20)</f>
        <v>Wilander</v>
      </c>
      <c r="I19" s="8">
        <f ca="1">VLOOKUP(H19, $C$5:$D$20, 2, FALSE)</f>
        <v>16</v>
      </c>
      <c r="J19" s="8">
        <f ca="1">RANDBETWEEN(1,K19)</f>
        <v>5</v>
      </c>
      <c r="K19" s="8">
        <f ca="1">VLOOKUP(H19, $C$5:$F$20, 4, FALSE)</f>
        <v>10</v>
      </c>
      <c r="L19" s="4">
        <f ca="1">HLOOKUP(J19, Wimbledon!$DX$20:$EL$36,I19, FALSE)</f>
        <v>-65.837782077986105</v>
      </c>
    </row>
    <row r="20" spans="1:17" x14ac:dyDescent="0.3">
      <c r="A20" s="8">
        <v>17</v>
      </c>
      <c r="B20" s="8">
        <f>Wimbledon!A36</f>
        <v>2</v>
      </c>
      <c r="C20" s="8" t="str">
        <f>Wimbledon!B36</f>
        <v>Connors</v>
      </c>
      <c r="D20" s="8">
        <f t="shared" si="3"/>
        <v>17</v>
      </c>
      <c r="E20" s="8">
        <f t="shared" ca="1" si="4"/>
        <v>4</v>
      </c>
      <c r="F20" s="8">
        <f>VLOOKUP(C20,Wimbledon!DW36:EM51, 17, FALSE)</f>
        <v>15</v>
      </c>
      <c r="G20" s="4">
        <f ca="1">HLOOKUP(E20, Wimbledon!$DX$20:$EL$36,$A20, FALSE)</f>
        <v>102.16221792201389</v>
      </c>
    </row>
  </sheetData>
  <conditionalFormatting sqref="Y4:AN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AO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AO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M36"/>
  <sheetViews>
    <sheetView topLeftCell="CZ1" workbookViewId="0">
      <selection activeCell="EJ14" sqref="EJ14"/>
    </sheetView>
  </sheetViews>
  <sheetFormatPr defaultColWidth="10.796875" defaultRowHeight="15.6" x14ac:dyDescent="0.3"/>
  <cols>
    <col min="1" max="1" width="3.69921875" style="8" customWidth="1"/>
    <col min="2" max="2" width="10.796875" style="8"/>
    <col min="3" max="3" width="10.796875" style="8" customWidth="1"/>
    <col min="4" max="4" width="6.796875" style="8" customWidth="1"/>
    <col min="5" max="5" width="3.796875" style="8" customWidth="1"/>
    <col min="6" max="6" width="10.796875" style="8"/>
    <col min="7" max="29" width="4.19921875" style="8" customWidth="1"/>
    <col min="30" max="30" width="10.796875" style="8" hidden="1" customWidth="1"/>
    <col min="31" max="53" width="2.796875" style="8" hidden="1" customWidth="1"/>
    <col min="54" max="54" width="10.796875" style="8" hidden="1" customWidth="1"/>
    <col min="55" max="92" width="4.19921875" style="8" customWidth="1"/>
    <col min="93" max="93" width="10.796875" style="8"/>
    <col min="94" max="97" width="4.19921875" style="8" customWidth="1"/>
    <col min="98" max="98" width="4.69921875" style="8" customWidth="1"/>
    <col min="99" max="99" width="4.19921875" style="8" customWidth="1"/>
    <col min="100" max="100" width="4.296875" style="8" customWidth="1"/>
    <col min="101" max="101" width="4.19921875" style="8" customWidth="1"/>
    <col min="102" max="102" width="4.5" style="8" customWidth="1"/>
    <col min="103" max="108" width="4.19921875" style="8" customWidth="1"/>
    <col min="109" max="111" width="4.296875" style="8" customWidth="1"/>
    <col min="112" max="126" width="4.5" style="8" customWidth="1"/>
    <col min="127" max="127" width="10.796875" style="8"/>
    <col min="128" max="131" width="4.19921875" style="8" customWidth="1"/>
    <col min="132" max="132" width="4.5" style="8" customWidth="1"/>
    <col min="133" max="133" width="4.19921875" style="8" customWidth="1"/>
    <col min="134" max="134" width="4.5" style="8" customWidth="1"/>
    <col min="135" max="135" width="4.19921875" style="8" customWidth="1"/>
    <col min="136" max="136" width="4.296875" style="8" customWidth="1"/>
    <col min="137" max="142" width="4.19921875" style="8" customWidth="1"/>
    <col min="143" max="16384" width="10.796875" style="8"/>
  </cols>
  <sheetData>
    <row r="1" spans="1:111" x14ac:dyDescent="0.3">
      <c r="A1" s="13" t="s">
        <v>0</v>
      </c>
      <c r="B1" s="13"/>
      <c r="G1" s="8">
        <v>2</v>
      </c>
      <c r="H1" s="8">
        <v>3</v>
      </c>
      <c r="I1" s="8">
        <v>4</v>
      </c>
      <c r="J1" s="8">
        <v>5</v>
      </c>
      <c r="K1" s="8">
        <v>6</v>
      </c>
      <c r="L1" s="8">
        <v>7</v>
      </c>
      <c r="M1" s="8">
        <v>8</v>
      </c>
      <c r="N1" s="8">
        <v>9</v>
      </c>
      <c r="O1" s="8">
        <v>10</v>
      </c>
      <c r="P1" s="8">
        <v>11</v>
      </c>
      <c r="Q1" s="8">
        <v>12</v>
      </c>
      <c r="R1" s="8">
        <v>13</v>
      </c>
      <c r="S1" s="8">
        <v>14</v>
      </c>
      <c r="T1" s="8">
        <v>15</v>
      </c>
      <c r="U1" s="8">
        <v>16</v>
      </c>
      <c r="V1" s="8">
        <v>17</v>
      </c>
      <c r="W1" s="8">
        <v>18</v>
      </c>
      <c r="X1" s="8">
        <v>19</v>
      </c>
      <c r="Y1" s="8">
        <v>20</v>
      </c>
      <c r="Z1" s="8">
        <v>21</v>
      </c>
      <c r="AA1" s="8">
        <v>22</v>
      </c>
      <c r="AB1" s="8">
        <v>23</v>
      </c>
      <c r="AC1" s="8">
        <v>24</v>
      </c>
      <c r="AE1" s="8">
        <v>2</v>
      </c>
      <c r="AF1" s="8">
        <v>3</v>
      </c>
      <c r="AG1" s="8">
        <v>4</v>
      </c>
      <c r="AH1" s="8">
        <v>5</v>
      </c>
      <c r="AI1" s="8">
        <v>6</v>
      </c>
      <c r="AJ1" s="8">
        <v>7</v>
      </c>
      <c r="AK1" s="8">
        <v>8</v>
      </c>
      <c r="AL1" s="8">
        <v>9</v>
      </c>
      <c r="AM1" s="8">
        <v>10</v>
      </c>
      <c r="AN1" s="8">
        <v>11</v>
      </c>
      <c r="AO1" s="8">
        <v>12</v>
      </c>
      <c r="AP1" s="8">
        <v>13</v>
      </c>
      <c r="AQ1" s="8">
        <v>14</v>
      </c>
      <c r="AR1" s="8">
        <v>15</v>
      </c>
      <c r="AS1" s="8">
        <v>16</v>
      </c>
      <c r="AT1" s="8">
        <v>17</v>
      </c>
      <c r="AU1" s="8">
        <v>18</v>
      </c>
      <c r="AV1" s="8">
        <v>19</v>
      </c>
      <c r="AW1" s="8">
        <v>20</v>
      </c>
      <c r="AX1" s="8">
        <v>21</v>
      </c>
      <c r="AY1" s="8">
        <v>22</v>
      </c>
      <c r="AZ1" s="8">
        <v>23</v>
      </c>
      <c r="BA1" s="8">
        <v>24</v>
      </c>
      <c r="BZ1" s="8">
        <v>1</v>
      </c>
      <c r="CA1" s="8">
        <v>2</v>
      </c>
      <c r="CB1" s="8">
        <v>3</v>
      </c>
      <c r="CC1" s="8">
        <v>4</v>
      </c>
      <c r="CD1" s="8">
        <v>5</v>
      </c>
      <c r="CE1" s="8">
        <v>6</v>
      </c>
      <c r="CF1" s="8">
        <v>7</v>
      </c>
      <c r="CG1" s="8">
        <v>8</v>
      </c>
      <c r="CH1" s="8">
        <v>9</v>
      </c>
      <c r="CI1" s="8">
        <v>10</v>
      </c>
      <c r="CJ1" s="8">
        <v>11</v>
      </c>
      <c r="CK1" s="8">
        <v>12</v>
      </c>
      <c r="CL1" s="8">
        <v>13</v>
      </c>
      <c r="CM1" s="8">
        <v>14</v>
      </c>
      <c r="CN1" s="8">
        <v>15</v>
      </c>
      <c r="CP1" s="8">
        <v>1</v>
      </c>
      <c r="CQ1" s="8">
        <v>2</v>
      </c>
      <c r="CR1" s="8">
        <v>3</v>
      </c>
      <c r="CS1" s="8">
        <v>4</v>
      </c>
      <c r="CT1" s="8">
        <v>5</v>
      </c>
      <c r="CU1" s="8">
        <v>6</v>
      </c>
      <c r="CV1" s="8">
        <v>7</v>
      </c>
      <c r="CW1" s="8">
        <v>8</v>
      </c>
      <c r="CX1" s="8">
        <v>9</v>
      </c>
      <c r="CY1" s="8">
        <v>10</v>
      </c>
      <c r="CZ1" s="8">
        <v>11</v>
      </c>
      <c r="DA1" s="8">
        <v>12</v>
      </c>
      <c r="DB1" s="8">
        <v>13</v>
      </c>
      <c r="DC1" s="8">
        <v>14</v>
      </c>
      <c r="DD1" s="8">
        <v>15</v>
      </c>
    </row>
    <row r="2" spans="1:111" x14ac:dyDescent="0.3">
      <c r="A2" s="8">
        <v>1</v>
      </c>
      <c r="B2" s="8" t="str">
        <f>VLOOKUP(A2,[1]Ranking!$Z$3:$AA$19, 2, FALSE)</f>
        <v>Connors</v>
      </c>
      <c r="C2" s="8" t="s">
        <v>38</v>
      </c>
      <c r="G2" s="8">
        <f>VLOOKUP($C2,[1]Data!$C$3:$Z$86,G$1, FALSE)</f>
        <v>-18</v>
      </c>
      <c r="H2" s="8">
        <f>VLOOKUP($C2,[1]Data!$C$3:$Z$86,H$1, FALSE)</f>
        <v>-43</v>
      </c>
      <c r="I2" s="8">
        <f>VLOOKUP($C2,[1]Data!$C$3:$Z$86,I$1, FALSE)</f>
        <v>-15</v>
      </c>
      <c r="J2" s="8">
        <f>VLOOKUP($C2,[1]Data!$C$3:$Z$86,J$1, FALSE)</f>
        <v>206</v>
      </c>
      <c r="K2" s="8">
        <f>VLOOKUP($C2,[1]Data!$C$3:$Z$86,K$1, FALSE)</f>
        <v>557</v>
      </c>
      <c r="L2" s="8">
        <f>VLOOKUP($C2,[1]Data!$C$3:$Z$86,L$1, FALSE)</f>
        <v>389</v>
      </c>
      <c r="M2" s="8">
        <f>VLOOKUP($C2,[1]Data!$C$3:$Z$86,M$1, FALSE)</f>
        <v>448</v>
      </c>
      <c r="N2" s="8">
        <f>VLOOKUP($C2,[1]Data!$C$3:$Z$86,N$1, FALSE)</f>
        <v>363</v>
      </c>
      <c r="O2" s="8">
        <f>VLOOKUP($C2,[1]Data!$C$3:$Z$86,O$1, FALSE)</f>
        <v>492</v>
      </c>
      <c r="P2" s="8">
        <f>VLOOKUP($C2,[1]Data!$C$3:$Z$86,P$1, FALSE)</f>
        <v>272</v>
      </c>
      <c r="Q2" s="8">
        <f>VLOOKUP($C2,[1]Data!$C$3:$Z$86,Q$1, FALSE)</f>
        <v>249</v>
      </c>
      <c r="R2" s="8">
        <f>VLOOKUP($C2,[1]Data!$C$3:$Z$86,R$1, FALSE)</f>
        <v>169</v>
      </c>
      <c r="S2" s="8">
        <f>VLOOKUP($C2,[1]Data!$C$3:$Z$86,S$1, FALSE)</f>
        <v>450</v>
      </c>
      <c r="T2" s="8">
        <f>VLOOKUP($C2,[1]Data!$C$3:$Z$86,T$1, FALSE)</f>
        <v>476</v>
      </c>
      <c r="U2" s="8">
        <f>VLOOKUP($C2,[1]Data!$C$3:$Z$86,U$1, FALSE)</f>
        <v>280</v>
      </c>
      <c r="V2" s="8">
        <f>VLOOKUP($C2,[1]Data!$C$3:$Z$86,V$1, FALSE)</f>
        <v>226</v>
      </c>
      <c r="W2" s="8">
        <f>VLOOKUP($C2,[1]Data!$C$3:$Z$86,W$1, FALSE)</f>
        <v>-70</v>
      </c>
      <c r="X2" s="8">
        <f>VLOOKUP($C2,[1]Data!$C$3:$Z$86,X$1, FALSE)</f>
        <v>237</v>
      </c>
      <c r="Y2" s="8">
        <f>VLOOKUP($C2,[1]Data!$C$3:$Z$86,Y$1, FALSE)</f>
        <v>41</v>
      </c>
      <c r="Z2" s="8">
        <f>VLOOKUP($C2,[1]Data!$C$3:$Z$86,Z$1, FALSE)</f>
        <v>173</v>
      </c>
      <c r="AA2" s="8">
        <f>VLOOKUP($C2,[1]Data!$C$3:$Z$86,AA$1, FALSE)</f>
        <v>0</v>
      </c>
      <c r="AB2" s="8">
        <f>VLOOKUP($C2,[1]Data!$C$3:$Z$86,AB$1, FALSE)</f>
        <v>280</v>
      </c>
      <c r="AC2" s="8">
        <f>VLOOKUP($C2,[1]Data!$C$3:$Z$86,AC$1, FALSE)</f>
        <v>38</v>
      </c>
      <c r="AE2" s="8">
        <f t="shared" ref="AE2:AT5" si="0">RANK(G2,$G2:$AC2)</f>
        <v>21</v>
      </c>
      <c r="AF2" s="8">
        <f t="shared" si="0"/>
        <v>22</v>
      </c>
      <c r="AG2" s="8">
        <f t="shared" si="0"/>
        <v>20</v>
      </c>
      <c r="AH2" s="8">
        <f t="shared" si="0"/>
        <v>14</v>
      </c>
      <c r="AI2" s="8">
        <f t="shared" si="0"/>
        <v>1</v>
      </c>
      <c r="AJ2" s="8">
        <f t="shared" si="0"/>
        <v>6</v>
      </c>
      <c r="AK2" s="8">
        <f t="shared" si="0"/>
        <v>5</v>
      </c>
      <c r="AL2" s="8">
        <f t="shared" si="0"/>
        <v>7</v>
      </c>
      <c r="AM2" s="8">
        <f t="shared" si="0"/>
        <v>2</v>
      </c>
      <c r="AN2" s="8">
        <f t="shared" si="0"/>
        <v>10</v>
      </c>
      <c r="AO2" s="8">
        <f t="shared" si="0"/>
        <v>11</v>
      </c>
      <c r="AP2" s="8">
        <f t="shared" si="0"/>
        <v>16</v>
      </c>
      <c r="AQ2" s="8">
        <f t="shared" si="0"/>
        <v>4</v>
      </c>
      <c r="AR2" s="8">
        <f t="shared" si="0"/>
        <v>3</v>
      </c>
      <c r="AS2" s="8">
        <f t="shared" si="0"/>
        <v>8</v>
      </c>
      <c r="AT2" s="8">
        <f t="shared" si="0"/>
        <v>13</v>
      </c>
      <c r="AU2" s="8">
        <f t="shared" ref="AO2:BA5" si="1">RANK(W2,$G2:$AC2)</f>
        <v>23</v>
      </c>
      <c r="AV2" s="8">
        <f t="shared" si="1"/>
        <v>12</v>
      </c>
      <c r="AW2" s="8">
        <f t="shared" si="1"/>
        <v>17</v>
      </c>
      <c r="AX2" s="8">
        <f t="shared" si="1"/>
        <v>15</v>
      </c>
      <c r="AY2" s="8">
        <f t="shared" si="1"/>
        <v>19</v>
      </c>
      <c r="AZ2" s="8">
        <f t="shared" si="1"/>
        <v>8</v>
      </c>
      <c r="BA2" s="8">
        <f t="shared" si="1"/>
        <v>18</v>
      </c>
      <c r="BC2" s="8" t="str">
        <f t="shared" ref="BC2" si="2">IF(AE2&gt;15, "", IF(G2=0, "", G2))</f>
        <v/>
      </c>
      <c r="BD2" s="8" t="str">
        <f t="shared" ref="BD2" si="3">IF(AF2&gt;15, "", IF(H2=0, "", H2))</f>
        <v/>
      </c>
      <c r="BE2" s="8" t="str">
        <f t="shared" ref="BE2" si="4">IF(AG2&gt;15, "", IF(I2=0, "", I2))</f>
        <v/>
      </c>
      <c r="BF2" s="8">
        <f t="shared" ref="BF2" si="5">IF(AH2&gt;15, "", IF(J2=0, "", J2))</f>
        <v>206</v>
      </c>
      <c r="BG2" s="8">
        <f t="shared" ref="BG2" si="6">IF(AI2&gt;15, "", IF(K2=0, "", K2))</f>
        <v>557</v>
      </c>
      <c r="BH2" s="8">
        <f t="shared" ref="BH2" si="7">IF(AJ2&gt;15, "", IF(L2=0, "", L2))</f>
        <v>389</v>
      </c>
      <c r="BI2" s="8">
        <f t="shared" ref="BI2" si="8">IF(AK2&gt;15, "", IF(M2=0, "", M2))</f>
        <v>448</v>
      </c>
      <c r="BJ2" s="8">
        <f t="shared" ref="BJ2" si="9">IF(AL2&gt;15, "", IF(N2=0, "", N2))</f>
        <v>363</v>
      </c>
      <c r="BK2" s="8">
        <f t="shared" ref="BK2" si="10">IF(AM2&gt;15, "", IF(O2=0, "", O2))</f>
        <v>492</v>
      </c>
      <c r="BL2" s="8">
        <f t="shared" ref="BL2" si="11">IF(AN2&gt;15, "", IF(P2=0, "", P2))</f>
        <v>272</v>
      </c>
      <c r="BM2" s="8">
        <f t="shared" ref="BM2" si="12">IF(AO2&gt;15, "", IF(Q2=0, "", Q2))</f>
        <v>249</v>
      </c>
      <c r="BN2" s="8" t="str">
        <f t="shared" ref="BN2" si="13">IF(AP2&gt;15, "", IF(R2=0, "", R2))</f>
        <v/>
      </c>
      <c r="BO2" s="8">
        <f t="shared" ref="BO2" si="14">IF(AQ2&gt;15, "", IF(S2=0, "", S2))</f>
        <v>450</v>
      </c>
      <c r="BP2" s="8">
        <f t="shared" ref="BP2" si="15">IF(AR2&gt;15, "", IF(T2=0, "", T2))</f>
        <v>476</v>
      </c>
      <c r="BQ2" s="8">
        <f t="shared" ref="BQ2" si="16">IF(AS2&gt;15, "", IF(U2=0, "", U2))</f>
        <v>280</v>
      </c>
      <c r="BR2" s="8">
        <f t="shared" ref="BR2" si="17">IF(AT2&gt;15, "", IF(V2=0, "", V2))</f>
        <v>226</v>
      </c>
      <c r="BS2" s="8" t="str">
        <f t="shared" ref="BS2" si="18">IF(AU2&gt;15, "", IF(W2=0, "", W2))</f>
        <v/>
      </c>
      <c r="BT2" s="8">
        <f t="shared" ref="BT2" si="19">IF(AV2&gt;15, "", IF(X2=0, "", X2))</f>
        <v>237</v>
      </c>
      <c r="BU2" s="8" t="str">
        <f t="shared" ref="BU2" si="20">IF(AW2&gt;15, "", IF(Y2=0, "", Y2))</f>
        <v/>
      </c>
      <c r="BV2" s="8">
        <f t="shared" ref="BV2" si="21">IF(AX2&gt;15, "", IF(Z2=0, "", Z2))</f>
        <v>173</v>
      </c>
      <c r="BW2" s="8" t="str">
        <f t="shared" ref="BW2" si="22">IF(AY2&gt;15, "", IF(AA2=0, "", AA2))</f>
        <v/>
      </c>
      <c r="BX2" s="8">
        <f t="shared" ref="BX2:BY2" si="23">IF(AZ2&gt;15, "", IF(AB2=0, "", AB2))</f>
        <v>280</v>
      </c>
      <c r="BY2" s="8" t="str">
        <f t="shared" si="23"/>
        <v/>
      </c>
      <c r="BZ2" s="8">
        <f>BF2</f>
        <v>206</v>
      </c>
      <c r="CA2" s="8">
        <f t="shared" ref="CA2:CG3" si="24">BG2</f>
        <v>557</v>
      </c>
      <c r="CB2" s="8">
        <f t="shared" si="24"/>
        <v>389</v>
      </c>
      <c r="CC2" s="8">
        <f t="shared" si="24"/>
        <v>448</v>
      </c>
      <c r="CD2" s="8">
        <f t="shared" si="24"/>
        <v>363</v>
      </c>
      <c r="CE2" s="8">
        <f t="shared" si="24"/>
        <v>492</v>
      </c>
      <c r="CF2" s="8">
        <f t="shared" si="24"/>
        <v>272</v>
      </c>
      <c r="CG2" s="8">
        <f t="shared" si="24"/>
        <v>249</v>
      </c>
      <c r="CH2" s="8">
        <f>BO2</f>
        <v>450</v>
      </c>
      <c r="CI2" s="8">
        <f t="shared" ref="CI2:CK2" si="25">BP2</f>
        <v>476</v>
      </c>
      <c r="CJ2" s="8">
        <f t="shared" si="25"/>
        <v>280</v>
      </c>
      <c r="CK2" s="8">
        <f t="shared" si="25"/>
        <v>226</v>
      </c>
      <c r="CL2" s="8">
        <f>BT2</f>
        <v>237</v>
      </c>
      <c r="CM2" s="8">
        <f>BV2</f>
        <v>173</v>
      </c>
      <c r="CN2" s="8">
        <f>BX2</f>
        <v>280</v>
      </c>
      <c r="CO2" s="8" t="str">
        <f>B2</f>
        <v>Connors</v>
      </c>
      <c r="CP2" s="4">
        <f>BZ2+$DG2</f>
        <v>217.16221792201389</v>
      </c>
      <c r="CQ2" s="4">
        <f t="shared" ref="CQ2:DC5" si="26">CA2+$DG2</f>
        <v>568.16221792201384</v>
      </c>
      <c r="CR2" s="4">
        <f t="shared" si="26"/>
        <v>400.16221792201389</v>
      </c>
      <c r="CS2" s="4">
        <f t="shared" si="26"/>
        <v>459.16221792201389</v>
      </c>
      <c r="CT2" s="4">
        <f t="shared" si="26"/>
        <v>374.16221792201389</v>
      </c>
      <c r="CU2" s="4">
        <f t="shared" si="26"/>
        <v>503.16221792201389</v>
      </c>
      <c r="CV2" s="4">
        <f t="shared" si="26"/>
        <v>283.16221792201389</v>
      </c>
      <c r="CW2" s="4">
        <f t="shared" si="26"/>
        <v>260.16221792201389</v>
      </c>
      <c r="CX2" s="4">
        <f t="shared" si="26"/>
        <v>461.16221792201389</v>
      </c>
      <c r="CY2" s="4">
        <f t="shared" si="26"/>
        <v>487.16221792201389</v>
      </c>
      <c r="CZ2" s="4">
        <f t="shared" si="26"/>
        <v>291.16221792201389</v>
      </c>
      <c r="DA2" s="4">
        <f t="shared" si="26"/>
        <v>237.16221792201389</v>
      </c>
      <c r="DB2" s="4">
        <f>CK2+$DG2</f>
        <v>237.16221792201389</v>
      </c>
      <c r="DC2" s="4">
        <f>CL2+$DG2</f>
        <v>248.16221792201389</v>
      </c>
      <c r="DD2" s="4">
        <f>CM2+$DG2</f>
        <v>184.16221792201389</v>
      </c>
      <c r="DE2" s="8">
        <f>VLOOKUP(B2,[1]Ranking!$C$3:$BM$19, 34, FALSE)</f>
        <v>57</v>
      </c>
      <c r="DF2" s="4">
        <f>VLOOKUP(B2,[1]Ranking!$C$3:$BM$19, 63, FALSE)</f>
        <v>636.2464215547916</v>
      </c>
      <c r="DG2" s="4">
        <f>DF2/DE2</f>
        <v>11.162217922013888</v>
      </c>
    </row>
    <row r="3" spans="1:111" x14ac:dyDescent="0.3">
      <c r="A3" s="8">
        <v>2</v>
      </c>
      <c r="B3" s="8" t="str">
        <f>VLOOKUP(A3,[1]Ranking!$Z$3:$AA$19, 2, FALSE)</f>
        <v>Federer</v>
      </c>
      <c r="C3" s="8" t="s">
        <v>39</v>
      </c>
      <c r="G3" s="8">
        <f>VLOOKUP($C3,[1]Data!$C$3:$Z$86,G$1, FALSE)</f>
        <v>0</v>
      </c>
      <c r="H3" s="8">
        <f>VLOOKUP($C3,[1]Data!$C$3:$Z$86,H$1, FALSE)</f>
        <v>-10</v>
      </c>
      <c r="I3" s="8">
        <f>VLOOKUP($C3,[1]Data!$C$3:$Z$86,I$1, FALSE)</f>
        <v>103</v>
      </c>
      <c r="J3" s="8">
        <f>VLOOKUP($C3,[1]Data!$C$3:$Z$86,J$1, FALSE)</f>
        <v>51</v>
      </c>
      <c r="K3" s="8">
        <f>VLOOKUP($C3,[1]Data!$C$3:$Z$86,K$1, FALSE)</f>
        <v>83</v>
      </c>
      <c r="L3" s="8">
        <f>VLOOKUP($C3,[1]Data!$C$3:$Z$86,L$1, FALSE)</f>
        <v>545</v>
      </c>
      <c r="M3" s="8">
        <f>VLOOKUP($C3,[1]Data!$C$3:$Z$86,M$1, FALSE)</f>
        <v>511</v>
      </c>
      <c r="N3" s="8">
        <f>VLOOKUP($C3,[1]Data!$C$3:$Z$86,N$1, FALSE)</f>
        <v>405</v>
      </c>
      <c r="O3" s="8">
        <f>VLOOKUP($C3,[1]Data!$C$3:$Z$86,O$1, FALSE)</f>
        <v>381</v>
      </c>
      <c r="P3" s="8">
        <f>VLOOKUP($C3,[1]Data!$C$3:$Z$86,P$1, FALSE)</f>
        <v>393</v>
      </c>
      <c r="Q3" s="8">
        <f>VLOOKUP($C3,[1]Data!$C$3:$Z$86,Q$1, FALSE)</f>
        <v>401</v>
      </c>
      <c r="R3" s="8">
        <f>VLOOKUP($C3,[1]Data!$C$3:$Z$86,R$1, FALSE)</f>
        <v>205</v>
      </c>
      <c r="S3" s="8">
        <f>VLOOKUP($C3,[1]Data!$C$3:$Z$86,S$1, FALSE)</f>
        <v>298</v>
      </c>
      <c r="T3" s="8">
        <f>VLOOKUP($C3,[1]Data!$C$3:$Z$86,T$1, FALSE)</f>
        <v>115</v>
      </c>
      <c r="U3" s="8">
        <f>VLOOKUP($C3,[1]Data!$C$3:$Z$86,U$1, FALSE)</f>
        <v>108</v>
      </c>
      <c r="V3" s="8">
        <f>VLOOKUP($C3,[1]Data!$C$3:$Z$86,V$1, FALSE)</f>
        <v>252</v>
      </c>
      <c r="W3" s="8">
        <f>VLOOKUP($C3,[1]Data!$C$3:$Z$86,W$1, FALSE)</f>
        <v>470</v>
      </c>
      <c r="X3" s="8">
        <f>VLOOKUP($C3,[1]Data!$C$3:$Z$86,X$1, FALSE)</f>
        <v>0</v>
      </c>
      <c r="Y3" s="8">
        <f>VLOOKUP($C3,[1]Data!$C$3:$Z$86,Y$1, FALSE)</f>
        <v>153</v>
      </c>
      <c r="Z3" s="8">
        <f>VLOOKUP($C3,[1]Data!$C$3:$Z$86,Z$1, FALSE)</f>
        <v>0</v>
      </c>
      <c r="AA3" s="8">
        <f>VLOOKUP($C3,[1]Data!$C$3:$Z$86,AA$1, FALSE)</f>
        <v>0</v>
      </c>
      <c r="AB3" s="8">
        <f>VLOOKUP($C3,[1]Data!$C$3:$Z$86,AB$1, FALSE)</f>
        <v>0</v>
      </c>
      <c r="AC3" s="8">
        <f>VLOOKUP($C3,[1]Data!$C$3:$Z$86,AC$1, FALSE)</f>
        <v>0</v>
      </c>
      <c r="AE3" s="8">
        <f t="shared" si="0"/>
        <v>17</v>
      </c>
      <c r="AF3" s="8">
        <f t="shared" si="0"/>
        <v>23</v>
      </c>
      <c r="AG3" s="8">
        <f t="shared" si="0"/>
        <v>14</v>
      </c>
      <c r="AH3" s="8">
        <f t="shared" si="0"/>
        <v>16</v>
      </c>
      <c r="AI3" s="8">
        <f t="shared" si="0"/>
        <v>15</v>
      </c>
      <c r="AJ3" s="8">
        <f t="shared" si="0"/>
        <v>1</v>
      </c>
      <c r="AK3" s="8">
        <f t="shared" si="0"/>
        <v>2</v>
      </c>
      <c r="AL3" s="8">
        <f t="shared" si="0"/>
        <v>4</v>
      </c>
      <c r="AM3" s="8">
        <f t="shared" si="0"/>
        <v>7</v>
      </c>
      <c r="AN3" s="8">
        <f t="shared" si="0"/>
        <v>6</v>
      </c>
      <c r="AO3" s="8">
        <f t="shared" si="1"/>
        <v>5</v>
      </c>
      <c r="AP3" s="8">
        <f t="shared" si="1"/>
        <v>10</v>
      </c>
      <c r="AQ3" s="8">
        <f t="shared" si="1"/>
        <v>8</v>
      </c>
      <c r="AR3" s="8">
        <f t="shared" si="1"/>
        <v>12</v>
      </c>
      <c r="AS3" s="8">
        <f t="shared" si="1"/>
        <v>13</v>
      </c>
      <c r="AT3" s="8">
        <f t="shared" si="1"/>
        <v>9</v>
      </c>
      <c r="AU3" s="8">
        <f t="shared" si="1"/>
        <v>3</v>
      </c>
      <c r="AV3" s="8">
        <f t="shared" si="1"/>
        <v>17</v>
      </c>
      <c r="AW3" s="8">
        <f t="shared" si="1"/>
        <v>11</v>
      </c>
      <c r="AX3" s="8">
        <f t="shared" si="1"/>
        <v>17</v>
      </c>
      <c r="AY3" s="8">
        <f t="shared" si="1"/>
        <v>17</v>
      </c>
      <c r="AZ3" s="8">
        <f t="shared" si="1"/>
        <v>17</v>
      </c>
      <c r="BA3" s="8">
        <f t="shared" si="1"/>
        <v>17</v>
      </c>
      <c r="BC3" s="8" t="str">
        <f t="shared" ref="BC3:BC4" si="27">IF(AE3&gt;15, "", IF(G3=0, "", G3))</f>
        <v/>
      </c>
      <c r="BD3" s="8" t="str">
        <f t="shared" ref="BD3:BD5" si="28">IF(AF3&gt;15, "", IF(H3=0, "", H3))</f>
        <v/>
      </c>
      <c r="BE3" s="8">
        <f t="shared" ref="BE3:BE5" si="29">IF(AG3&gt;15, "", IF(I3=0, "", I3))</f>
        <v>103</v>
      </c>
      <c r="BF3" s="8" t="str">
        <f t="shared" ref="BF3:BF5" si="30">IF(AH3&gt;15, "", IF(J3=0, "", J3))</f>
        <v/>
      </c>
      <c r="BG3" s="8">
        <f t="shared" ref="BG3:BG5" si="31">IF(AI3&gt;15, "", IF(K3=0, "", K3))</f>
        <v>83</v>
      </c>
      <c r="BH3" s="8">
        <f t="shared" ref="BH3:BH5" si="32">IF(AJ3&gt;15, "", IF(L3=0, "", L3))</f>
        <v>545</v>
      </c>
      <c r="BI3" s="8">
        <f t="shared" ref="BI3:BI5" si="33">IF(AK3&gt;15, "", IF(M3=0, "", M3))</f>
        <v>511</v>
      </c>
      <c r="BJ3" s="8">
        <f t="shared" ref="BJ3:BJ5" si="34">IF(AL3&gt;15, "", IF(N3=0, "", N3))</f>
        <v>405</v>
      </c>
      <c r="BK3" s="8">
        <f t="shared" ref="BK3:BK5" si="35">IF(AM3&gt;15, "", IF(O3=0, "", O3))</f>
        <v>381</v>
      </c>
      <c r="BL3" s="8">
        <f t="shared" ref="BL3:BL5" si="36">IF(AN3&gt;15, "", IF(P3=0, "", P3))</f>
        <v>393</v>
      </c>
      <c r="BM3" s="8">
        <f t="shared" ref="BM3:BM5" si="37">IF(AO3&gt;15, "", IF(Q3=0, "", Q3))</f>
        <v>401</v>
      </c>
      <c r="BN3" s="8">
        <f t="shared" ref="BN3:BN5" si="38">IF(AP3&gt;15, "", IF(R3=0, "", R3))</f>
        <v>205</v>
      </c>
      <c r="BO3" s="8">
        <f t="shared" ref="BO3:BO5" si="39">IF(AQ3&gt;15, "", IF(S3=0, "", S3))</f>
        <v>298</v>
      </c>
      <c r="BP3" s="8">
        <f t="shared" ref="BP3:BP5" si="40">IF(AR3&gt;15, "", IF(T3=0, "", T3))</f>
        <v>115</v>
      </c>
      <c r="BQ3" s="8">
        <f t="shared" ref="BQ3:BQ5" si="41">IF(AS3&gt;15, "", IF(U3=0, "", U3))</f>
        <v>108</v>
      </c>
      <c r="BR3" s="8">
        <f t="shared" ref="BR3:BR5" si="42">IF(AT3&gt;15, "", IF(V3=0, "", V3))</f>
        <v>252</v>
      </c>
      <c r="BS3" s="8">
        <f t="shared" ref="BS3:BS5" si="43">IF(AU3&gt;15, "", IF(W3=0, "", W3))</f>
        <v>470</v>
      </c>
      <c r="BT3" s="8" t="str">
        <f t="shared" ref="BT3:BT5" si="44">IF(AV3&gt;15, "", IF(X3=0, "", X3))</f>
        <v/>
      </c>
      <c r="BU3" s="8">
        <f t="shared" ref="BU3:BU5" si="45">IF(AW3&gt;15, "", IF(Y3=0, "", Y3))</f>
        <v>153</v>
      </c>
      <c r="BV3" s="8" t="str">
        <f t="shared" ref="BV3:BV5" si="46">IF(AX3&gt;15, "", IF(Z3=0, "", Z3))</f>
        <v/>
      </c>
      <c r="BW3" s="8" t="str">
        <f t="shared" ref="BW3:BW5" si="47">IF(AY3&gt;15, "", IF(AA3=0, "", AA3))</f>
        <v/>
      </c>
      <c r="BX3" s="8" t="str">
        <f t="shared" ref="BX3:BX5" si="48">IF(AZ3&gt;15, "", IF(AB3=0, "", AB3))</f>
        <v/>
      </c>
      <c r="BY3" s="8" t="str">
        <f t="shared" ref="BY3:BY5" si="49">IF(BA3&gt;15, "", IF(AC3=0, "", AC3))</f>
        <v/>
      </c>
      <c r="BZ3" s="8">
        <f>BE3</f>
        <v>103</v>
      </c>
      <c r="CA3" s="8">
        <f>BG3</f>
        <v>83</v>
      </c>
      <c r="CB3" s="8">
        <f t="shared" si="24"/>
        <v>545</v>
      </c>
      <c r="CC3" s="8">
        <f t="shared" si="24"/>
        <v>511</v>
      </c>
      <c r="CD3" s="8">
        <f t="shared" si="24"/>
        <v>405</v>
      </c>
      <c r="CE3" s="8">
        <f t="shared" si="24"/>
        <v>381</v>
      </c>
      <c r="CF3" s="8">
        <f t="shared" si="24"/>
        <v>393</v>
      </c>
      <c r="CG3" s="8">
        <f t="shared" si="24"/>
        <v>401</v>
      </c>
      <c r="CH3" s="8">
        <f t="shared" ref="CH3:CM3" si="50">BN3</f>
        <v>205</v>
      </c>
      <c r="CI3" s="8">
        <f t="shared" si="50"/>
        <v>298</v>
      </c>
      <c r="CJ3" s="8">
        <f t="shared" si="50"/>
        <v>115</v>
      </c>
      <c r="CK3" s="8">
        <f t="shared" si="50"/>
        <v>108</v>
      </c>
      <c r="CL3" s="8">
        <f t="shared" si="50"/>
        <v>252</v>
      </c>
      <c r="CM3" s="8">
        <f t="shared" si="50"/>
        <v>470</v>
      </c>
      <c r="CN3" s="8">
        <f>BU3</f>
        <v>153</v>
      </c>
      <c r="CO3" s="8" t="str">
        <f>B3</f>
        <v>Federer</v>
      </c>
      <c r="CP3" s="4">
        <f>BZ3+$DG3</f>
        <v>97.302878390064976</v>
      </c>
      <c r="CQ3" s="4">
        <f t="shared" si="26"/>
        <v>77.302878390064976</v>
      </c>
      <c r="CR3" s="4">
        <f t="shared" si="26"/>
        <v>539.30287839006496</v>
      </c>
      <c r="CS3" s="4">
        <f t="shared" si="26"/>
        <v>505.30287839006496</v>
      </c>
      <c r="CT3" s="4">
        <f t="shared" si="26"/>
        <v>399.30287839006496</v>
      </c>
      <c r="CU3" s="4">
        <f>CD3+$DG3</f>
        <v>399.30287839006496</v>
      </c>
      <c r="CV3" s="4">
        <f t="shared" si="26"/>
        <v>387.30287839006496</v>
      </c>
      <c r="CW3" s="4">
        <f t="shared" si="26"/>
        <v>395.30287839006496</v>
      </c>
      <c r="CX3" s="4">
        <f t="shared" si="26"/>
        <v>199.30287839006499</v>
      </c>
      <c r="CY3" s="4">
        <f t="shared" si="26"/>
        <v>292.30287839006496</v>
      </c>
      <c r="CZ3" s="4">
        <f t="shared" si="26"/>
        <v>109.30287839006498</v>
      </c>
      <c r="DA3" s="4">
        <f t="shared" si="26"/>
        <v>102.30287839006498</v>
      </c>
      <c r="DB3" s="4">
        <f t="shared" si="26"/>
        <v>246.30287839006499</v>
      </c>
      <c r="DC3" s="4">
        <f>CL3+$DG3</f>
        <v>246.30287839006499</v>
      </c>
      <c r="DD3" s="4">
        <f>CM3+$DG3</f>
        <v>464.30287839006496</v>
      </c>
      <c r="DE3" s="8">
        <f>VLOOKUP(B3,[1]Ranking!$C$3:$BM$19, 34, FALSE)</f>
        <v>73</v>
      </c>
      <c r="DF3" s="4">
        <f>VLOOKUP(B3,[1]Ranking!$C$3:$BM$19, 63, FALSE)</f>
        <v>-415.88987752525645</v>
      </c>
      <c r="DG3" s="4">
        <f>DF3/DE3</f>
        <v>-5.6971216099350199</v>
      </c>
    </row>
    <row r="4" spans="1:111" x14ac:dyDescent="0.3">
      <c r="A4" s="8">
        <v>3</v>
      </c>
      <c r="B4" s="8" t="str">
        <f>VLOOKUP(A4,[1]Ranking!$Z$3:$AA$19, 2, FALSE)</f>
        <v>Lendl</v>
      </c>
      <c r="C4" s="8" t="s">
        <v>40</v>
      </c>
      <c r="G4" s="8">
        <f>VLOOKUP($C4,[1]Data!$C$3:$Z$86,G$1, FALSE)</f>
        <v>0</v>
      </c>
      <c r="H4" s="8">
        <f>VLOOKUP($C4,[1]Data!$C$3:$Z$86,H$1, FALSE)</f>
        <v>52</v>
      </c>
      <c r="I4" s="8">
        <f>VLOOKUP($C4,[1]Data!$C$3:$Z$86,I$1, FALSE)</f>
        <v>104</v>
      </c>
      <c r="J4" s="8">
        <f>VLOOKUP($C4,[1]Data!$C$3:$Z$86,J$1, FALSE)</f>
        <v>13</v>
      </c>
      <c r="K4" s="8">
        <f>VLOOKUP($C4,[1]Data!$C$3:$Z$86,K$1, FALSE)</f>
        <v>384</v>
      </c>
      <c r="L4" s="8">
        <f>VLOOKUP($C4,[1]Data!$C$3:$Z$86,L$1, FALSE)</f>
        <v>397</v>
      </c>
      <c r="M4" s="8">
        <f>VLOOKUP($C4,[1]Data!$C$3:$Z$86,M$1, FALSE)</f>
        <v>378</v>
      </c>
      <c r="N4" s="8">
        <f>VLOOKUP($C4,[1]Data!$C$3:$Z$86,N$1, FALSE)</f>
        <v>401</v>
      </c>
      <c r="O4" s="8">
        <f>VLOOKUP($C4,[1]Data!$C$3:$Z$86,O$1, FALSE)</f>
        <v>536</v>
      </c>
      <c r="P4" s="8">
        <f>VLOOKUP($C4,[1]Data!$C$3:$Z$86,P$1, FALSE)</f>
        <v>473</v>
      </c>
      <c r="Q4" s="8">
        <f>VLOOKUP($C4,[1]Data!$C$3:$Z$86,Q$1, FALSE)</f>
        <v>389</v>
      </c>
      <c r="R4" s="8">
        <f>VLOOKUP($C4,[1]Data!$C$3:$Z$86,R$1, FALSE)</f>
        <v>432</v>
      </c>
      <c r="S4" s="8">
        <f>VLOOKUP($C4,[1]Data!$C$3:$Z$86,S$1, FALSE)</f>
        <v>88</v>
      </c>
      <c r="T4" s="8">
        <f>VLOOKUP($C4,[1]Data!$C$3:$Z$86,T$1, FALSE)</f>
        <v>336</v>
      </c>
      <c r="U4" s="8">
        <f>VLOOKUP($C4,[1]Data!$C$3:$Z$86,U$1, FALSE)</f>
        <v>210</v>
      </c>
      <c r="V4" s="8">
        <f>VLOOKUP($C4,[1]Data!$C$3:$Z$86,V$1, FALSE)</f>
        <v>-99</v>
      </c>
      <c r="W4" s="8">
        <f>VLOOKUP($C4,[1]Data!$C$3:$Z$86,W$1, FALSE)</f>
        <v>-40</v>
      </c>
      <c r="X4" s="8">
        <f>VLOOKUP($C4,[1]Data!$C$3:$Z$86,X$1, FALSE)</f>
        <v>0</v>
      </c>
      <c r="Y4" s="8">
        <f>VLOOKUP($C4,[1]Data!$C$3:$Z$86,Y$1, FALSE)</f>
        <v>0</v>
      </c>
      <c r="Z4" s="8">
        <f>VLOOKUP($C4,[1]Data!$C$3:$Z$86,Z$1, FALSE)</f>
        <v>0</v>
      </c>
      <c r="AA4" s="8">
        <f>VLOOKUP($C4,[1]Data!$C$3:$Z$86,AA$1, FALSE)</f>
        <v>0</v>
      </c>
      <c r="AB4" s="8">
        <f>VLOOKUP($C4,[1]Data!$C$3:$Z$86,AB$1, FALSE)</f>
        <v>0</v>
      </c>
      <c r="AC4" s="8">
        <f>VLOOKUP($C4,[1]Data!$C$3:$Z$86,AC$1, FALSE)</f>
        <v>0</v>
      </c>
      <c r="AE4" s="8">
        <f t="shared" si="0"/>
        <v>15</v>
      </c>
      <c r="AF4" s="8">
        <f t="shared" si="0"/>
        <v>13</v>
      </c>
      <c r="AG4" s="8">
        <f t="shared" si="0"/>
        <v>11</v>
      </c>
      <c r="AH4" s="8">
        <f t="shared" si="0"/>
        <v>14</v>
      </c>
      <c r="AI4" s="8">
        <f t="shared" si="0"/>
        <v>7</v>
      </c>
      <c r="AJ4" s="8">
        <f t="shared" si="0"/>
        <v>5</v>
      </c>
      <c r="AK4" s="8">
        <f t="shared" si="0"/>
        <v>8</v>
      </c>
      <c r="AL4" s="8">
        <f t="shared" si="0"/>
        <v>4</v>
      </c>
      <c r="AM4" s="8">
        <f t="shared" si="0"/>
        <v>1</v>
      </c>
      <c r="AN4" s="8">
        <f t="shared" si="0"/>
        <v>2</v>
      </c>
      <c r="AO4" s="8">
        <f t="shared" si="1"/>
        <v>6</v>
      </c>
      <c r="AP4" s="8">
        <f t="shared" si="1"/>
        <v>3</v>
      </c>
      <c r="AQ4" s="8">
        <f t="shared" si="1"/>
        <v>12</v>
      </c>
      <c r="AR4" s="8">
        <f t="shared" si="1"/>
        <v>9</v>
      </c>
      <c r="AS4" s="8">
        <f t="shared" si="1"/>
        <v>10</v>
      </c>
      <c r="AT4" s="8">
        <f t="shared" si="1"/>
        <v>23</v>
      </c>
      <c r="AU4" s="8">
        <f t="shared" si="1"/>
        <v>22</v>
      </c>
      <c r="AV4" s="8">
        <f t="shared" si="1"/>
        <v>15</v>
      </c>
      <c r="AW4" s="8">
        <f t="shared" si="1"/>
        <v>15</v>
      </c>
      <c r="AX4" s="8">
        <f t="shared" si="1"/>
        <v>15</v>
      </c>
      <c r="AY4" s="8">
        <f t="shared" si="1"/>
        <v>15</v>
      </c>
      <c r="AZ4" s="8">
        <f t="shared" si="1"/>
        <v>15</v>
      </c>
      <c r="BA4" s="8">
        <f t="shared" si="1"/>
        <v>15</v>
      </c>
      <c r="BC4" s="8" t="str">
        <f t="shared" si="27"/>
        <v/>
      </c>
      <c r="BD4" s="8">
        <f t="shared" si="28"/>
        <v>52</v>
      </c>
      <c r="BE4" s="8">
        <f t="shared" si="29"/>
        <v>104</v>
      </c>
      <c r="BF4" s="8">
        <f t="shared" si="30"/>
        <v>13</v>
      </c>
      <c r="BG4" s="8">
        <f t="shared" si="31"/>
        <v>384</v>
      </c>
      <c r="BH4" s="8">
        <f t="shared" si="32"/>
        <v>397</v>
      </c>
      <c r="BI4" s="8">
        <f t="shared" si="33"/>
        <v>378</v>
      </c>
      <c r="BJ4" s="8">
        <f t="shared" si="34"/>
        <v>401</v>
      </c>
      <c r="BK4" s="8">
        <f t="shared" si="35"/>
        <v>536</v>
      </c>
      <c r="BL4" s="8">
        <f t="shared" si="36"/>
        <v>473</v>
      </c>
      <c r="BM4" s="8">
        <f t="shared" si="37"/>
        <v>389</v>
      </c>
      <c r="BN4" s="8">
        <f t="shared" si="38"/>
        <v>432</v>
      </c>
      <c r="BO4" s="8">
        <f t="shared" si="39"/>
        <v>88</v>
      </c>
      <c r="BP4" s="8">
        <f t="shared" si="40"/>
        <v>336</v>
      </c>
      <c r="BQ4" s="8">
        <f t="shared" si="41"/>
        <v>210</v>
      </c>
      <c r="BR4" s="8" t="str">
        <f t="shared" si="42"/>
        <v/>
      </c>
      <c r="BS4" s="8">
        <f>W4</f>
        <v>-40</v>
      </c>
      <c r="BT4" s="8" t="str">
        <f t="shared" si="44"/>
        <v/>
      </c>
      <c r="BU4" s="8" t="str">
        <f t="shared" si="45"/>
        <v/>
      </c>
      <c r="BV4" s="8" t="str">
        <f t="shared" si="46"/>
        <v/>
      </c>
      <c r="BW4" s="8" t="str">
        <f t="shared" si="47"/>
        <v/>
      </c>
      <c r="BX4" s="8" t="str">
        <f t="shared" si="48"/>
        <v/>
      </c>
      <c r="BY4" s="8" t="str">
        <f t="shared" si="49"/>
        <v/>
      </c>
      <c r="BZ4" s="8">
        <f>BD4</f>
        <v>52</v>
      </c>
      <c r="CA4" s="8">
        <f t="shared" ref="CA4:CM4" si="51">BE4</f>
        <v>104</v>
      </c>
      <c r="CB4" s="8">
        <f t="shared" si="51"/>
        <v>13</v>
      </c>
      <c r="CC4" s="8">
        <f t="shared" si="51"/>
        <v>384</v>
      </c>
      <c r="CD4" s="8">
        <f t="shared" si="51"/>
        <v>397</v>
      </c>
      <c r="CE4" s="8">
        <f t="shared" si="51"/>
        <v>378</v>
      </c>
      <c r="CF4" s="8">
        <f t="shared" si="51"/>
        <v>401</v>
      </c>
      <c r="CG4" s="8">
        <f t="shared" si="51"/>
        <v>536</v>
      </c>
      <c r="CH4" s="8">
        <f t="shared" si="51"/>
        <v>473</v>
      </c>
      <c r="CI4" s="8">
        <f t="shared" si="51"/>
        <v>389</v>
      </c>
      <c r="CJ4" s="8">
        <f t="shared" si="51"/>
        <v>432</v>
      </c>
      <c r="CK4" s="8">
        <f t="shared" si="51"/>
        <v>88</v>
      </c>
      <c r="CL4" s="8">
        <f t="shared" si="51"/>
        <v>336</v>
      </c>
      <c r="CM4" s="8">
        <f t="shared" si="51"/>
        <v>210</v>
      </c>
      <c r="CN4" s="8">
        <f>BS4</f>
        <v>-40</v>
      </c>
      <c r="CO4" s="8" t="str">
        <f>B4</f>
        <v>Lendl</v>
      </c>
      <c r="CP4" s="4">
        <f>BZ4+$DG4</f>
        <v>63.162217922013888</v>
      </c>
      <c r="CQ4" s="4">
        <f t="shared" si="26"/>
        <v>115.16221792201389</v>
      </c>
      <c r="CR4" s="4">
        <f t="shared" si="26"/>
        <v>24.162217922013888</v>
      </c>
      <c r="CS4" s="4">
        <f t="shared" si="26"/>
        <v>395.16221792201389</v>
      </c>
      <c r="CT4" s="4">
        <f>CB4+$DG4</f>
        <v>24.162217922013888</v>
      </c>
      <c r="CU4" s="4">
        <f t="shared" si="26"/>
        <v>389.16221792201389</v>
      </c>
      <c r="CV4" s="4">
        <f t="shared" si="26"/>
        <v>412.16221792201389</v>
      </c>
      <c r="CW4" s="4">
        <f t="shared" si="26"/>
        <v>547.16221792201384</v>
      </c>
      <c r="CX4" s="4">
        <f t="shared" si="26"/>
        <v>484.16221792201389</v>
      </c>
      <c r="CY4" s="4">
        <f t="shared" si="26"/>
        <v>400.16221792201389</v>
      </c>
      <c r="CZ4" s="4">
        <f t="shared" si="26"/>
        <v>443.16221792201389</v>
      </c>
      <c r="DA4" s="4">
        <f t="shared" si="26"/>
        <v>99.162217922013895</v>
      </c>
      <c r="DB4" s="4">
        <f t="shared" si="26"/>
        <v>347.16221792201389</v>
      </c>
      <c r="DC4" s="4">
        <f t="shared" si="26"/>
        <v>221.16221792201389</v>
      </c>
      <c r="DD4" s="4"/>
      <c r="DE4" s="8">
        <f>VLOOKUP(B4,[1]Ranking!$C$3:$BM$19, 34, FALSE)</f>
        <v>57</v>
      </c>
      <c r="DF4" s="4">
        <f>VLOOKUP(B4,[1]Ranking!$C$3:$BM$19, 63, FALSE)</f>
        <v>636.2464215547916</v>
      </c>
      <c r="DG4" s="4">
        <f>DF4/DE4</f>
        <v>11.162217922013888</v>
      </c>
    </row>
    <row r="5" spans="1:111" x14ac:dyDescent="0.3">
      <c r="A5" s="8">
        <v>4</v>
      </c>
      <c r="B5" s="8" t="str">
        <f>VLOOKUP(A5,[1]Ranking!$Z$3:$AA$19, 2, FALSE)</f>
        <v>Sampras</v>
      </c>
      <c r="C5" s="8" t="s">
        <v>41</v>
      </c>
      <c r="G5" s="8">
        <f>VLOOKUP($C5,[1]Data!$C$3:$Z$86,G$1, FALSE)</f>
        <v>-69</v>
      </c>
      <c r="H5" s="8">
        <f>VLOOKUP($C5,[1]Data!$C$3:$Z$86,H$1, FALSE)</f>
        <v>157</v>
      </c>
      <c r="I5" s="8">
        <f>VLOOKUP($C5,[1]Data!$C$3:$Z$86,I$1, FALSE)</f>
        <v>503</v>
      </c>
      <c r="J5" s="8">
        <f>VLOOKUP($C5,[1]Data!$C$3:$Z$86,J$1, FALSE)</f>
        <v>126</v>
      </c>
      <c r="K5" s="8">
        <f>VLOOKUP($C5,[1]Data!$C$3:$Z$86,K$1, FALSE)</f>
        <v>297</v>
      </c>
      <c r="L5" s="8">
        <f>VLOOKUP($C5,[1]Data!$C$3:$Z$86,L$1, FALSE)</f>
        <v>478</v>
      </c>
      <c r="M5" s="8">
        <f>VLOOKUP($C5,[1]Data!$C$3:$Z$86,M$1, FALSE)</f>
        <v>25</v>
      </c>
      <c r="N5" s="8">
        <f>VLOOKUP($C5,[1]Data!$C$3:$Z$86,N$1, FALSE)</f>
        <v>434</v>
      </c>
      <c r="O5" s="8">
        <f>VLOOKUP($C5,[1]Data!$C$3:$Z$86,O$1, FALSE)</f>
        <v>467</v>
      </c>
      <c r="P5" s="8">
        <f>VLOOKUP($C5,[1]Data!$C$3:$Z$86,P$1, FALSE)</f>
        <v>6</v>
      </c>
      <c r="Q5" s="8">
        <f>VLOOKUP($C5,[1]Data!$C$3:$Z$86,Q$1, FALSE)</f>
        <v>179</v>
      </c>
      <c r="R5" s="8">
        <f>VLOOKUP($C5,[1]Data!$C$3:$Z$86,R$1, FALSE)</f>
        <v>0</v>
      </c>
      <c r="S5" s="8">
        <f>VLOOKUP($C5,[1]Data!$C$3:$Z$86,S$1, FALSE)</f>
        <v>264</v>
      </c>
      <c r="T5" s="8">
        <f>VLOOKUP($C5,[1]Data!$C$3:$Z$86,T$1, FALSE)</f>
        <v>396</v>
      </c>
      <c r="U5" s="8">
        <f>VLOOKUP($C5,[1]Data!$C$3:$Z$86,U$1, FALSE)</f>
        <v>512</v>
      </c>
      <c r="V5" s="8">
        <f>VLOOKUP($C5,[1]Data!$C$3:$Z$86,V$1, FALSE)</f>
        <v>0</v>
      </c>
      <c r="W5" s="8">
        <f>VLOOKUP($C5,[1]Data!$C$3:$Z$86,W$1, FALSE)</f>
        <v>0</v>
      </c>
      <c r="X5" s="8">
        <f>VLOOKUP($C5,[1]Data!$C$3:$Z$86,X$1, FALSE)</f>
        <v>0</v>
      </c>
      <c r="Y5" s="8">
        <f>VLOOKUP($C5,[1]Data!$C$3:$Z$86,Y$1, FALSE)</f>
        <v>0</v>
      </c>
      <c r="Z5" s="8">
        <f>VLOOKUP($C5,[1]Data!$C$3:$Z$86,Z$1, FALSE)</f>
        <v>0</v>
      </c>
      <c r="AA5" s="8">
        <f>VLOOKUP($C5,[1]Data!$C$3:$Z$86,AA$1, FALSE)</f>
        <v>0</v>
      </c>
      <c r="AB5" s="8">
        <f>VLOOKUP($C5,[1]Data!$C$3:$Z$86,AB$1, FALSE)</f>
        <v>0</v>
      </c>
      <c r="AC5" s="8">
        <f>VLOOKUP($C5,[1]Data!$C$3:$Z$86,AC$1, FALSE)</f>
        <v>0</v>
      </c>
      <c r="AE5" s="8">
        <f t="shared" si="0"/>
        <v>23</v>
      </c>
      <c r="AF5" s="8">
        <f t="shared" si="0"/>
        <v>10</v>
      </c>
      <c r="AG5" s="8">
        <f t="shared" si="0"/>
        <v>2</v>
      </c>
      <c r="AH5" s="8">
        <f t="shared" si="0"/>
        <v>11</v>
      </c>
      <c r="AI5" s="8">
        <f t="shared" si="0"/>
        <v>7</v>
      </c>
      <c r="AJ5" s="8">
        <f t="shared" si="0"/>
        <v>3</v>
      </c>
      <c r="AK5" s="8">
        <f t="shared" si="0"/>
        <v>12</v>
      </c>
      <c r="AL5" s="8">
        <f t="shared" si="0"/>
        <v>5</v>
      </c>
      <c r="AM5" s="8">
        <f t="shared" si="0"/>
        <v>4</v>
      </c>
      <c r="AN5" s="8">
        <f t="shared" si="0"/>
        <v>13</v>
      </c>
      <c r="AO5" s="8">
        <f t="shared" si="1"/>
        <v>9</v>
      </c>
      <c r="AP5" s="8">
        <f t="shared" si="1"/>
        <v>14</v>
      </c>
      <c r="AQ5" s="8">
        <f t="shared" si="1"/>
        <v>8</v>
      </c>
      <c r="AR5" s="8">
        <f t="shared" si="1"/>
        <v>6</v>
      </c>
      <c r="AS5" s="8">
        <f t="shared" si="1"/>
        <v>1</v>
      </c>
      <c r="AT5" s="8">
        <f t="shared" si="1"/>
        <v>14</v>
      </c>
      <c r="AU5" s="8">
        <f t="shared" si="1"/>
        <v>14</v>
      </c>
      <c r="AV5" s="8">
        <f t="shared" si="1"/>
        <v>14</v>
      </c>
      <c r="AW5" s="8">
        <f t="shared" si="1"/>
        <v>14</v>
      </c>
      <c r="AX5" s="8">
        <f t="shared" si="1"/>
        <v>14</v>
      </c>
      <c r="AY5" s="8">
        <f t="shared" si="1"/>
        <v>14</v>
      </c>
      <c r="AZ5" s="8">
        <f t="shared" si="1"/>
        <v>14</v>
      </c>
      <c r="BA5" s="8">
        <f t="shared" si="1"/>
        <v>14</v>
      </c>
      <c r="BC5" s="8">
        <f>G5</f>
        <v>-69</v>
      </c>
      <c r="BD5" s="8">
        <f t="shared" si="28"/>
        <v>157</v>
      </c>
      <c r="BE5" s="8">
        <f t="shared" si="29"/>
        <v>503</v>
      </c>
      <c r="BF5" s="8">
        <f t="shared" si="30"/>
        <v>126</v>
      </c>
      <c r="BG5" s="8">
        <f t="shared" si="31"/>
        <v>297</v>
      </c>
      <c r="BH5" s="8">
        <f t="shared" si="32"/>
        <v>478</v>
      </c>
      <c r="BI5" s="8">
        <f t="shared" si="33"/>
        <v>25</v>
      </c>
      <c r="BJ5" s="8">
        <f t="shared" si="34"/>
        <v>434</v>
      </c>
      <c r="BK5" s="8">
        <f t="shared" si="35"/>
        <v>467</v>
      </c>
      <c r="BL5" s="8">
        <f t="shared" si="36"/>
        <v>6</v>
      </c>
      <c r="BM5" s="8">
        <f t="shared" si="37"/>
        <v>179</v>
      </c>
      <c r="BN5" s="8" t="str">
        <f t="shared" si="38"/>
        <v/>
      </c>
      <c r="BO5" s="8">
        <f t="shared" si="39"/>
        <v>264</v>
      </c>
      <c r="BP5" s="8">
        <f t="shared" si="40"/>
        <v>396</v>
      </c>
      <c r="BQ5" s="8">
        <f t="shared" si="41"/>
        <v>512</v>
      </c>
      <c r="BR5" s="8" t="str">
        <f t="shared" si="42"/>
        <v/>
      </c>
      <c r="BS5" s="8" t="str">
        <f t="shared" si="43"/>
        <v/>
      </c>
      <c r="BT5" s="8" t="str">
        <f t="shared" si="44"/>
        <v/>
      </c>
      <c r="BU5" s="8" t="str">
        <f t="shared" si="45"/>
        <v/>
      </c>
      <c r="BV5" s="8" t="str">
        <f t="shared" si="46"/>
        <v/>
      </c>
      <c r="BW5" s="8" t="str">
        <f t="shared" si="47"/>
        <v/>
      </c>
      <c r="BX5" s="8" t="str">
        <f t="shared" si="48"/>
        <v/>
      </c>
      <c r="BY5" s="8" t="str">
        <f t="shared" si="49"/>
        <v/>
      </c>
      <c r="BZ5" s="8">
        <f>BC5</f>
        <v>-69</v>
      </c>
      <c r="CA5" s="8">
        <f t="shared" ref="CA5:CJ5" si="52">BD5</f>
        <v>157</v>
      </c>
      <c r="CB5" s="8">
        <f t="shared" si="52"/>
        <v>503</v>
      </c>
      <c r="CC5" s="8">
        <f t="shared" si="52"/>
        <v>126</v>
      </c>
      <c r="CD5" s="8">
        <f t="shared" si="52"/>
        <v>297</v>
      </c>
      <c r="CE5" s="8">
        <f t="shared" si="52"/>
        <v>478</v>
      </c>
      <c r="CF5" s="8">
        <f t="shared" si="52"/>
        <v>25</v>
      </c>
      <c r="CG5" s="8">
        <f t="shared" si="52"/>
        <v>434</v>
      </c>
      <c r="CH5" s="8">
        <f t="shared" si="52"/>
        <v>467</v>
      </c>
      <c r="CI5" s="8">
        <f t="shared" si="52"/>
        <v>6</v>
      </c>
      <c r="CJ5" s="8">
        <f t="shared" si="52"/>
        <v>179</v>
      </c>
      <c r="CK5" s="8">
        <f>BO5</f>
        <v>264</v>
      </c>
      <c r="CL5" s="8">
        <f>BP5</f>
        <v>396</v>
      </c>
      <c r="CM5" s="8">
        <f>BQ5</f>
        <v>512</v>
      </c>
      <c r="CO5" s="8" t="str">
        <f>B5</f>
        <v>Sampras</v>
      </c>
      <c r="CP5" s="4">
        <f>BZ5+$DG5</f>
        <v>-60.022513058753461</v>
      </c>
      <c r="CQ5" s="4">
        <f t="shared" si="26"/>
        <v>165.97748694124655</v>
      </c>
      <c r="CR5" s="4">
        <f t="shared" si="26"/>
        <v>511.97748694124653</v>
      </c>
      <c r="CS5" s="4">
        <f t="shared" si="26"/>
        <v>134.97748694124655</v>
      </c>
      <c r="CT5" s="4">
        <f>CD5+$DG5</f>
        <v>305.97748694124653</v>
      </c>
      <c r="CU5" s="4">
        <f>CD5+$DG5</f>
        <v>305.97748694124653</v>
      </c>
      <c r="CV5" s="4">
        <f t="shared" si="26"/>
        <v>33.977486941246539</v>
      </c>
      <c r="CW5" s="4">
        <f t="shared" si="26"/>
        <v>442.97748694124653</v>
      </c>
      <c r="CX5" s="4">
        <f t="shared" si="26"/>
        <v>475.97748694124653</v>
      </c>
      <c r="CY5" s="4">
        <f t="shared" si="26"/>
        <v>14.977486941246543</v>
      </c>
      <c r="CZ5" s="4">
        <f t="shared" si="26"/>
        <v>187.97748694124655</v>
      </c>
      <c r="DA5" s="4">
        <f t="shared" si="26"/>
        <v>272.97748694124653</v>
      </c>
      <c r="DB5" s="4">
        <f t="shared" si="26"/>
        <v>404.97748694124653</v>
      </c>
      <c r="DC5" s="4">
        <f t="shared" si="26"/>
        <v>520.97748694124653</v>
      </c>
      <c r="DD5" s="4"/>
      <c r="DE5" s="8">
        <f>VLOOKUP(B5,[1]Ranking!$C$3:$BM$19, 34, FALSE)</f>
        <v>52</v>
      </c>
      <c r="DF5" s="4">
        <f>VLOOKUP(B5,[1]Ranking!$C$3:$BM$19, 63, FALSE)</f>
        <v>466.82932094482021</v>
      </c>
      <c r="DG5" s="4">
        <f>DF5/DE5</f>
        <v>8.9774869412465428</v>
      </c>
    </row>
    <row r="6" spans="1:111" x14ac:dyDescent="0.3">
      <c r="A6" s="13" t="s">
        <v>1</v>
      </c>
      <c r="B6" s="13"/>
    </row>
    <row r="7" spans="1:111" x14ac:dyDescent="0.3">
      <c r="A7" s="8">
        <v>5</v>
      </c>
      <c r="B7" s="8" t="str">
        <f>VLOOKUP(A7,[1]Ranking!$Z$3:$AA$19, 2, FALSE)</f>
        <v>Djokovic</v>
      </c>
      <c r="C7" s="8" t="s">
        <v>42</v>
      </c>
      <c r="D7" s="3">
        <f t="shared" ref="D7:D18" ca="1" si="53">RAND()</f>
        <v>0.41929264115979892</v>
      </c>
      <c r="E7" s="8">
        <f t="shared" ref="E7:E18" ca="1" si="54">RANK(D7,$D$7:$D$18)</f>
        <v>7</v>
      </c>
      <c r="F7" s="8" t="str">
        <f>B7</f>
        <v>Djokovic</v>
      </c>
      <c r="G7" s="8">
        <f>VLOOKUP($C7,[1]Data!$C$3:$Z$86,G$1, FALSE)</f>
        <v>87</v>
      </c>
      <c r="H7" s="8">
        <f>VLOOKUP($C7,[1]Data!$C$3:$Z$86,H$1, FALSE)</f>
        <v>26</v>
      </c>
      <c r="I7" s="8">
        <f>VLOOKUP($C7,[1]Data!$C$3:$Z$86,I$1, FALSE)</f>
        <v>383</v>
      </c>
      <c r="J7" s="8">
        <f>VLOOKUP($C7,[1]Data!$C$3:$Z$86,J$1, FALSE)</f>
        <v>287</v>
      </c>
      <c r="K7" s="8">
        <f>VLOOKUP($C7,[1]Data!$C$3:$Z$86,K$1, FALSE)</f>
        <v>237</v>
      </c>
      <c r="L7" s="8">
        <f>VLOOKUP($C7,[1]Data!$C$3:$Z$86,L$1, FALSE)</f>
        <v>393</v>
      </c>
      <c r="M7" s="8">
        <f>VLOOKUP($C7,[1]Data!$C$3:$Z$86,M$1, FALSE)</f>
        <v>491</v>
      </c>
      <c r="N7" s="8">
        <f>VLOOKUP($C7,[1]Data!$C$3:$Z$86,N$1, FALSE)</f>
        <v>399</v>
      </c>
      <c r="O7" s="8">
        <f>VLOOKUP($C7,[1]Data!$C$3:$Z$86,O$1, FALSE)</f>
        <v>274</v>
      </c>
      <c r="P7" s="8">
        <f>VLOOKUP($C7,[1]Data!$C$3:$Z$86,P$1, FALSE)</f>
        <v>263</v>
      </c>
      <c r="Q7" s="8">
        <f>VLOOKUP($C7,[1]Data!$C$3:$Z$86,Q$1, FALSE)</f>
        <v>530</v>
      </c>
      <c r="R7" s="8">
        <f>VLOOKUP($C7,[1]Data!$C$3:$Z$86,R$1, FALSE)</f>
        <v>315</v>
      </c>
      <c r="S7" s="8">
        <f>VLOOKUP($C7,[1]Data!$C$3:$Z$86,S$1, FALSE)</f>
        <v>0</v>
      </c>
      <c r="T7" s="8">
        <f>VLOOKUP($C7,[1]Data!$C$3:$Z$86,T$1, FALSE)</f>
        <v>0</v>
      </c>
      <c r="U7" s="8">
        <f>VLOOKUP($C7,[1]Data!$C$3:$Z$86,U$1, FALSE)</f>
        <v>0</v>
      </c>
      <c r="V7" s="8">
        <f>VLOOKUP($C7,[1]Data!$C$3:$Z$86,V$1, FALSE)</f>
        <v>0</v>
      </c>
      <c r="W7" s="8">
        <f>VLOOKUP($C7,[1]Data!$C$3:$Z$86,W$1, FALSE)</f>
        <v>0</v>
      </c>
      <c r="X7" s="8">
        <f>VLOOKUP($C7,[1]Data!$C$3:$Z$86,X$1, FALSE)</f>
        <v>0</v>
      </c>
      <c r="Y7" s="8">
        <f>VLOOKUP($C7,[1]Data!$C$3:$Z$86,Y$1, FALSE)</f>
        <v>0</v>
      </c>
      <c r="Z7" s="8">
        <f>VLOOKUP($C7,[1]Data!$C$3:$Z$86,Z$1, FALSE)</f>
        <v>0</v>
      </c>
      <c r="AA7" s="8">
        <f>VLOOKUP($C7,[1]Data!$C$3:$Z$86,AA$1, FALSE)</f>
        <v>0</v>
      </c>
      <c r="AB7" s="8">
        <f>VLOOKUP($C7,[1]Data!$C$3:$Z$86,AB$1, FALSE)</f>
        <v>0</v>
      </c>
      <c r="AC7" s="8">
        <f>VLOOKUP($C7,[1]Data!$C$3:$Z$86,AC$1, FALSE)</f>
        <v>0</v>
      </c>
      <c r="AE7" s="8">
        <f t="shared" ref="AE7:AT18" si="55">RANK(G7,$G7:$AC7)</f>
        <v>11</v>
      </c>
      <c r="AF7" s="8">
        <f t="shared" si="55"/>
        <v>12</v>
      </c>
      <c r="AG7" s="8">
        <f t="shared" si="55"/>
        <v>5</v>
      </c>
      <c r="AH7" s="8">
        <f t="shared" si="55"/>
        <v>7</v>
      </c>
      <c r="AI7" s="8">
        <f t="shared" si="55"/>
        <v>10</v>
      </c>
      <c r="AJ7" s="8">
        <f t="shared" si="55"/>
        <v>4</v>
      </c>
      <c r="AK7" s="8">
        <f t="shared" si="55"/>
        <v>2</v>
      </c>
      <c r="AL7" s="8">
        <f t="shared" si="55"/>
        <v>3</v>
      </c>
      <c r="AM7" s="8">
        <f t="shared" si="55"/>
        <v>8</v>
      </c>
      <c r="AN7" s="8">
        <f t="shared" si="55"/>
        <v>9</v>
      </c>
      <c r="AO7" s="8">
        <f t="shared" si="55"/>
        <v>1</v>
      </c>
      <c r="AP7" s="8">
        <f t="shared" si="55"/>
        <v>6</v>
      </c>
      <c r="AQ7" s="8">
        <f t="shared" si="55"/>
        <v>13</v>
      </c>
      <c r="AR7" s="8">
        <f t="shared" si="55"/>
        <v>13</v>
      </c>
      <c r="AS7" s="8">
        <f t="shared" si="55"/>
        <v>13</v>
      </c>
      <c r="AT7" s="8">
        <f t="shared" si="55"/>
        <v>13</v>
      </c>
      <c r="AU7" s="8">
        <f t="shared" ref="AU7:BA18" si="56">RANK(W7,$G7:$AC7)</f>
        <v>13</v>
      </c>
      <c r="AV7" s="8">
        <f t="shared" si="56"/>
        <v>13</v>
      </c>
      <c r="AW7" s="8">
        <f t="shared" si="56"/>
        <v>13</v>
      </c>
      <c r="AX7" s="8">
        <f t="shared" si="56"/>
        <v>13</v>
      </c>
      <c r="AY7" s="8">
        <f t="shared" si="56"/>
        <v>13</v>
      </c>
      <c r="AZ7" s="8">
        <f t="shared" si="56"/>
        <v>13</v>
      </c>
      <c r="BA7" s="8">
        <f t="shared" si="56"/>
        <v>13</v>
      </c>
      <c r="BC7" s="8">
        <f t="shared" ref="BC7:BC18" si="57">IF(AE7&gt;15, "", IF(G7=0, "", G7))</f>
        <v>87</v>
      </c>
      <c r="BD7" s="8">
        <f t="shared" ref="BD7:BD18" si="58">IF(AF7&gt;15, "", IF(H7=0, "", H7))</f>
        <v>26</v>
      </c>
      <c r="BE7" s="8">
        <f t="shared" ref="BE7:BE18" si="59">IF(AG7&gt;15, "", IF(I7=0, "", I7))</f>
        <v>383</v>
      </c>
      <c r="BF7" s="8">
        <f t="shared" ref="BF7:BF18" si="60">IF(AH7&gt;15, "", IF(J7=0, "", J7))</f>
        <v>287</v>
      </c>
      <c r="BG7" s="8">
        <f t="shared" ref="BG7:BG18" si="61">IF(AI7&gt;15, "", IF(K7=0, "", K7))</f>
        <v>237</v>
      </c>
      <c r="BH7" s="8">
        <f t="shared" ref="BH7:BH18" si="62">IF(AJ7&gt;15, "", IF(L7=0, "", L7))</f>
        <v>393</v>
      </c>
      <c r="BI7" s="8">
        <f t="shared" ref="BI7:BI18" si="63">IF(AK7&gt;15, "", IF(M7=0, "", M7))</f>
        <v>491</v>
      </c>
      <c r="BJ7" s="8">
        <f t="shared" ref="BJ7:BJ18" si="64">IF(AL7&gt;15, "", IF(N7=0, "", N7))</f>
        <v>399</v>
      </c>
      <c r="BK7" s="8">
        <f t="shared" ref="BK7:BK18" si="65">IF(AM7&gt;15, "", IF(O7=0, "", O7))</f>
        <v>274</v>
      </c>
      <c r="BL7" s="8">
        <f t="shared" ref="BL7:BL17" si="66">IF(AN7&gt;15, "", IF(P7=0, "", P7))</f>
        <v>263</v>
      </c>
      <c r="BM7" s="8">
        <f t="shared" ref="BM7:BM18" si="67">IF(AO7&gt;15, "", IF(Q7=0, "", Q7))</f>
        <v>530</v>
      </c>
      <c r="BN7" s="8">
        <f t="shared" ref="BN7:BN17" si="68">IF(AP7&gt;15, "", IF(R7=0, "", R7))</f>
        <v>315</v>
      </c>
      <c r="BO7" s="8" t="str">
        <f t="shared" ref="BO7:BO18" si="69">IF(AQ7&gt;15, "", IF(S7=0, "", S7))</f>
        <v/>
      </c>
      <c r="BP7" s="8" t="str">
        <f t="shared" ref="BP7:BP18" si="70">IF(AR7&gt;15, "", IF(T7=0, "", T7))</f>
        <v/>
      </c>
      <c r="BQ7" s="8" t="str">
        <f t="shared" ref="BQ7:BQ18" si="71">IF(AS7&gt;15, "", IF(U7=0, "", U7))</f>
        <v/>
      </c>
      <c r="BR7" s="8" t="str">
        <f t="shared" ref="BR7:BR18" si="72">IF(AT7&gt;15, "", IF(V7=0, "", V7))</f>
        <v/>
      </c>
      <c r="BS7" s="8" t="str">
        <f t="shared" ref="BS7:BS18" si="73">IF(AU7&gt;15, "", IF(W7=0, "", W7))</f>
        <v/>
      </c>
      <c r="BT7" s="8" t="str">
        <f t="shared" ref="BT7:BT18" si="74">IF(AV7&gt;15, "", IF(X7=0, "", X7))</f>
        <v/>
      </c>
      <c r="BU7" s="8" t="str">
        <f t="shared" ref="BU7:BU18" si="75">IF(AW7&gt;15, "", IF(Y7=0, "", Y7))</f>
        <v/>
      </c>
      <c r="BV7" s="8" t="str">
        <f t="shared" ref="BV7:BV18" si="76">IF(AX7&gt;15, "", IF(Z7=0, "", Z7))</f>
        <v/>
      </c>
      <c r="BW7" s="8" t="str">
        <f t="shared" ref="BW7:BW18" si="77">IF(AY7&gt;15, "", IF(AA7=0, "", AA7))</f>
        <v/>
      </c>
      <c r="BX7" s="8" t="str">
        <f t="shared" ref="BX7:BX18" si="78">IF(AZ7&gt;15, "", IF(AB7=0, "", AB7))</f>
        <v/>
      </c>
      <c r="BY7" s="8" t="str">
        <f t="shared" ref="BY7:BY18" si="79">IF(BA7&gt;15, "", IF(AC7=0, "", AC7))</f>
        <v/>
      </c>
      <c r="BZ7" s="8">
        <f>BC7</f>
        <v>87</v>
      </c>
      <c r="CA7" s="8">
        <f t="shared" ref="CA7:CK7" si="80">BD7</f>
        <v>26</v>
      </c>
      <c r="CB7" s="8">
        <f t="shared" si="80"/>
        <v>383</v>
      </c>
      <c r="CC7" s="8">
        <f t="shared" si="80"/>
        <v>287</v>
      </c>
      <c r="CD7" s="8">
        <f t="shared" si="80"/>
        <v>237</v>
      </c>
      <c r="CE7" s="8">
        <f t="shared" si="80"/>
        <v>393</v>
      </c>
      <c r="CF7" s="8">
        <f t="shared" si="80"/>
        <v>491</v>
      </c>
      <c r="CG7" s="8">
        <f t="shared" si="80"/>
        <v>399</v>
      </c>
      <c r="CH7" s="8">
        <f t="shared" si="80"/>
        <v>274</v>
      </c>
      <c r="CI7" s="8">
        <f t="shared" si="80"/>
        <v>263</v>
      </c>
      <c r="CJ7" s="8">
        <f t="shared" si="80"/>
        <v>530</v>
      </c>
      <c r="CK7" s="8">
        <f t="shared" si="80"/>
        <v>315</v>
      </c>
      <c r="CO7" s="8" t="str">
        <f t="shared" ref="CO7:CO18" si="81">B7</f>
        <v>Djokovic</v>
      </c>
      <c r="CP7" s="4">
        <f t="shared" ref="CP7:DC18" si="82">BZ7+$DG7</f>
        <v>79.227882755363581</v>
      </c>
      <c r="CQ7" s="4">
        <f t="shared" si="82"/>
        <v>18.227882755363581</v>
      </c>
      <c r="CR7" s="4">
        <f t="shared" si="82"/>
        <v>375.22788275536357</v>
      </c>
      <c r="CS7" s="4">
        <f t="shared" si="82"/>
        <v>279.22788275536357</v>
      </c>
      <c r="CT7" s="4">
        <f t="shared" si="82"/>
        <v>229.22788275536357</v>
      </c>
      <c r="CU7" s="4">
        <f t="shared" si="82"/>
        <v>385.22788275536357</v>
      </c>
      <c r="CV7" s="4">
        <f t="shared" si="82"/>
        <v>483.22788275536357</v>
      </c>
      <c r="CW7" s="4">
        <f t="shared" si="82"/>
        <v>391.22788275536357</v>
      </c>
      <c r="CX7" s="4">
        <f t="shared" si="82"/>
        <v>266.22788275536357</v>
      </c>
      <c r="CY7" s="4">
        <f t="shared" si="82"/>
        <v>255.22788275536357</v>
      </c>
      <c r="CZ7" s="4"/>
      <c r="DA7" s="4"/>
      <c r="DB7" s="4"/>
      <c r="DC7" s="4"/>
      <c r="DD7" s="4"/>
      <c r="DE7" s="8">
        <f>VLOOKUP(B7,[1]Ranking!$C$3:$BM$19, 34, FALSE)</f>
        <v>54</v>
      </c>
      <c r="DF7" s="4">
        <f>VLOOKUP(B7,[1]Ranking!$C$3:$BM$19, 63, FALSE)</f>
        <v>-419.69433121036673</v>
      </c>
      <c r="DG7" s="4">
        <f t="shared" ref="DG7:DG18" si="83">DF7/DE7</f>
        <v>-7.7721172446364211</v>
      </c>
    </row>
    <row r="8" spans="1:111" x14ac:dyDescent="0.3">
      <c r="A8" s="8">
        <v>6</v>
      </c>
      <c r="B8" s="8" t="str">
        <f>VLOOKUP(A8,[1]Ranking!$Z$3:$AA$19, 2, FALSE)</f>
        <v>Agassi</v>
      </c>
      <c r="C8" s="8" t="s">
        <v>43</v>
      </c>
      <c r="D8" s="3">
        <f t="shared" ca="1" si="53"/>
        <v>0.20694140453727516</v>
      </c>
      <c r="E8" s="8">
        <f t="shared" ca="1" si="54"/>
        <v>10</v>
      </c>
      <c r="F8" s="8" t="str">
        <f t="shared" ref="F8:F18" si="84">B8</f>
        <v>Agassi</v>
      </c>
      <c r="G8" s="8">
        <f>VLOOKUP($C8,[1]Data!$C$3:$Z$86,G$1, FALSE)</f>
        <v>-99</v>
      </c>
      <c r="H8" s="8">
        <f>VLOOKUP($C8,[1]Data!$C$3:$Z$86,H$1, FALSE)</f>
        <v>-11</v>
      </c>
      <c r="I8" s="8">
        <f>VLOOKUP($C8,[1]Data!$C$3:$Z$86,I$1, FALSE)</f>
        <v>200</v>
      </c>
      <c r="J8" s="8">
        <f>VLOOKUP($C8,[1]Data!$C$3:$Z$86,J$1, FALSE)</f>
        <v>110</v>
      </c>
      <c r="K8" s="8">
        <f>VLOOKUP($C8,[1]Data!$C$3:$Z$86,K$1, FALSE)</f>
        <v>379</v>
      </c>
      <c r="L8" s="8">
        <f>VLOOKUP($C8,[1]Data!$C$3:$Z$86,L$1, FALSE)</f>
        <v>-47</v>
      </c>
      <c r="M8" s="8">
        <f>VLOOKUP($C8,[1]Data!$C$3:$Z$86,M$1, FALSE)</f>
        <v>186</v>
      </c>
      <c r="N8" s="8">
        <f>VLOOKUP($C8,[1]Data!$C$3:$Z$86,N$1, FALSE)</f>
        <v>-61</v>
      </c>
      <c r="O8" s="8">
        <f>VLOOKUP($C8,[1]Data!$C$3:$Z$86,O$1, FALSE)</f>
        <v>508</v>
      </c>
      <c r="P8" s="8">
        <f>VLOOKUP($C8,[1]Data!$C$3:$Z$86,P$1, FALSE)</f>
        <v>360</v>
      </c>
      <c r="Q8" s="8">
        <f>VLOOKUP($C8,[1]Data!$C$3:$Z$86,Q$1, FALSE)</f>
        <v>189</v>
      </c>
      <c r="R8" s="8">
        <f>VLOOKUP($C8,[1]Data!$C$3:$Z$86,R$1, FALSE)</f>
        <v>46</v>
      </c>
      <c r="S8" s="8">
        <f>VLOOKUP($C8,[1]Data!$C$3:$Z$86,S$1, FALSE)</f>
        <v>121</v>
      </c>
      <c r="T8" s="8">
        <f>VLOOKUP($C8,[1]Data!$C$3:$Z$86,T$1, FALSE)</f>
        <v>304</v>
      </c>
      <c r="U8" s="8">
        <f>VLOOKUP($C8,[1]Data!$C$3:$Z$86,U$1, FALSE)</f>
        <v>-36</v>
      </c>
      <c r="V8" s="8">
        <f>VLOOKUP($C8,[1]Data!$C$3:$Z$86,V$1, FALSE)</f>
        <v>103</v>
      </c>
      <c r="W8" s="8">
        <f>VLOOKUP($C8,[1]Data!$C$3:$Z$86,W$1, FALSE)</f>
        <v>226</v>
      </c>
      <c r="X8" s="8">
        <f>VLOOKUP($C8,[1]Data!$C$3:$Z$86,X$1, FALSE)</f>
        <v>221</v>
      </c>
      <c r="Y8" s="8">
        <f>VLOOKUP($C8,[1]Data!$C$3:$Z$86,Y$1, FALSE)</f>
        <v>246</v>
      </c>
      <c r="Z8" s="8">
        <f>VLOOKUP($C8,[1]Data!$C$3:$Z$86,Z$1, FALSE)</f>
        <v>272</v>
      </c>
      <c r="AA8" s="8">
        <f>VLOOKUP($C8,[1]Data!$C$3:$Z$86,AA$1, FALSE)</f>
        <v>18</v>
      </c>
      <c r="AB8" s="8">
        <f>VLOOKUP($C8,[1]Data!$C$3:$Z$86,AB$1, FALSE)</f>
        <v>0</v>
      </c>
      <c r="AC8" s="8">
        <f>VLOOKUP($C8,[1]Data!$C$3:$Z$86,AC$1, FALSE)</f>
        <v>0</v>
      </c>
      <c r="AE8" s="8">
        <f t="shared" si="55"/>
        <v>23</v>
      </c>
      <c r="AF8" s="8">
        <f t="shared" si="55"/>
        <v>19</v>
      </c>
      <c r="AG8" s="8">
        <f t="shared" si="55"/>
        <v>9</v>
      </c>
      <c r="AH8" s="8">
        <f t="shared" si="55"/>
        <v>13</v>
      </c>
      <c r="AI8" s="8">
        <f t="shared" si="55"/>
        <v>2</v>
      </c>
      <c r="AJ8" s="8">
        <f t="shared" si="55"/>
        <v>21</v>
      </c>
      <c r="AK8" s="8">
        <f t="shared" si="55"/>
        <v>11</v>
      </c>
      <c r="AL8" s="8">
        <f t="shared" si="55"/>
        <v>22</v>
      </c>
      <c r="AM8" s="8">
        <f t="shared" si="55"/>
        <v>1</v>
      </c>
      <c r="AN8" s="8">
        <f t="shared" si="55"/>
        <v>3</v>
      </c>
      <c r="AO8" s="8">
        <f t="shared" si="55"/>
        <v>10</v>
      </c>
      <c r="AP8" s="8">
        <f t="shared" si="55"/>
        <v>15</v>
      </c>
      <c r="AQ8" s="8">
        <f t="shared" si="55"/>
        <v>12</v>
      </c>
      <c r="AR8" s="8">
        <f t="shared" si="55"/>
        <v>4</v>
      </c>
      <c r="AS8" s="8">
        <f t="shared" si="55"/>
        <v>20</v>
      </c>
      <c r="AT8" s="8">
        <f t="shared" si="55"/>
        <v>14</v>
      </c>
      <c r="AU8" s="8">
        <f t="shared" si="56"/>
        <v>7</v>
      </c>
      <c r="AV8" s="8">
        <f t="shared" si="56"/>
        <v>8</v>
      </c>
      <c r="AW8" s="8">
        <f t="shared" si="56"/>
        <v>6</v>
      </c>
      <c r="AX8" s="8">
        <f t="shared" si="56"/>
        <v>5</v>
      </c>
      <c r="AY8" s="8">
        <f t="shared" si="56"/>
        <v>16</v>
      </c>
      <c r="AZ8" s="8">
        <f t="shared" si="56"/>
        <v>17</v>
      </c>
      <c r="BA8" s="8">
        <f t="shared" si="56"/>
        <v>17</v>
      </c>
      <c r="BC8" s="8" t="str">
        <f t="shared" si="57"/>
        <v/>
      </c>
      <c r="BD8" s="8" t="str">
        <f t="shared" si="58"/>
        <v/>
      </c>
      <c r="BE8" s="8">
        <f t="shared" si="59"/>
        <v>200</v>
      </c>
      <c r="BF8" s="8">
        <f t="shared" si="60"/>
        <v>110</v>
      </c>
      <c r="BG8" s="8">
        <f t="shared" si="61"/>
        <v>379</v>
      </c>
      <c r="BH8" s="8" t="str">
        <f t="shared" si="62"/>
        <v/>
      </c>
      <c r="BI8" s="8">
        <f t="shared" si="63"/>
        <v>186</v>
      </c>
      <c r="BJ8" s="8" t="str">
        <f t="shared" si="64"/>
        <v/>
      </c>
      <c r="BK8" s="8">
        <f t="shared" si="65"/>
        <v>508</v>
      </c>
      <c r="BL8" s="8">
        <f t="shared" si="66"/>
        <v>360</v>
      </c>
      <c r="BM8" s="8">
        <f t="shared" si="67"/>
        <v>189</v>
      </c>
      <c r="BN8" s="8">
        <f t="shared" si="68"/>
        <v>46</v>
      </c>
      <c r="BO8" s="8">
        <f t="shared" si="69"/>
        <v>121</v>
      </c>
      <c r="BP8" s="8">
        <f t="shared" si="70"/>
        <v>304</v>
      </c>
      <c r="BQ8" s="8" t="str">
        <f t="shared" si="71"/>
        <v/>
      </c>
      <c r="BR8" s="8">
        <f t="shared" si="72"/>
        <v>103</v>
      </c>
      <c r="BS8" s="8">
        <f t="shared" si="73"/>
        <v>226</v>
      </c>
      <c r="BT8" s="8">
        <f t="shared" si="74"/>
        <v>221</v>
      </c>
      <c r="BU8" s="8">
        <f t="shared" si="75"/>
        <v>246</v>
      </c>
      <c r="BV8" s="8">
        <f t="shared" si="76"/>
        <v>272</v>
      </c>
      <c r="BW8" s="8" t="str">
        <f t="shared" si="77"/>
        <v/>
      </c>
      <c r="BX8" s="8" t="str">
        <f t="shared" si="78"/>
        <v/>
      </c>
      <c r="BY8" s="8" t="str">
        <f t="shared" si="79"/>
        <v/>
      </c>
      <c r="BZ8" s="8">
        <f>BE8</f>
        <v>200</v>
      </c>
      <c r="CA8" s="8">
        <f>BF8</f>
        <v>110</v>
      </c>
      <c r="CB8" s="8">
        <f>BG8</f>
        <v>379</v>
      </c>
      <c r="CC8" s="8">
        <f>BI8</f>
        <v>186</v>
      </c>
      <c r="CD8" s="8">
        <f>BK8</f>
        <v>508</v>
      </c>
      <c r="CE8" s="8">
        <f t="shared" ref="CE8:CI8" si="85">BL8</f>
        <v>360</v>
      </c>
      <c r="CF8" s="8">
        <f t="shared" si="85"/>
        <v>189</v>
      </c>
      <c r="CG8" s="8">
        <f t="shared" si="85"/>
        <v>46</v>
      </c>
      <c r="CH8" s="8">
        <f t="shared" si="85"/>
        <v>121</v>
      </c>
      <c r="CI8" s="8">
        <f t="shared" si="85"/>
        <v>304</v>
      </c>
      <c r="CJ8" s="8">
        <f>BR8</f>
        <v>103</v>
      </c>
      <c r="CK8" s="8">
        <f>BS8</f>
        <v>226</v>
      </c>
      <c r="CL8" s="8">
        <f>BT8</f>
        <v>221</v>
      </c>
      <c r="CM8" s="8">
        <f>BU8</f>
        <v>246</v>
      </c>
      <c r="CN8" s="8">
        <f>BV8</f>
        <v>272</v>
      </c>
      <c r="CO8" s="8" t="str">
        <f t="shared" si="81"/>
        <v>Agassi</v>
      </c>
      <c r="CP8" s="4">
        <f>BZ8+$DG8</f>
        <v>205.88543599032445</v>
      </c>
      <c r="CQ8" s="4">
        <f t="shared" si="82"/>
        <v>115.88543599032444</v>
      </c>
      <c r="CR8" s="4">
        <f t="shared" si="82"/>
        <v>384.88543599032442</v>
      </c>
      <c r="CS8" s="4">
        <f t="shared" si="82"/>
        <v>191.88543599032445</v>
      </c>
      <c r="CT8" s="4">
        <f t="shared" si="82"/>
        <v>513.88543599032448</v>
      </c>
      <c r="CU8" s="4">
        <f t="shared" si="82"/>
        <v>365.88543599032442</v>
      </c>
      <c r="CV8" s="4">
        <f t="shared" si="82"/>
        <v>194.88543599032445</v>
      </c>
      <c r="CW8" s="4">
        <f t="shared" si="82"/>
        <v>51.885435990324439</v>
      </c>
      <c r="CX8" s="4">
        <f t="shared" si="82"/>
        <v>126.88543599032444</v>
      </c>
      <c r="CY8" s="4">
        <f t="shared" si="82"/>
        <v>309.88543599032442</v>
      </c>
      <c r="CZ8" s="4">
        <f t="shared" si="82"/>
        <v>108.88543599032444</v>
      </c>
      <c r="DA8" s="4">
        <f t="shared" si="82"/>
        <v>231.88543599032445</v>
      </c>
      <c r="DB8" s="4"/>
      <c r="DC8" s="4"/>
      <c r="DD8" s="4"/>
      <c r="DE8" s="8">
        <f>VLOOKUP(B8,[1]Ranking!$C$3:$BM$19, 34, FALSE)</f>
        <v>61</v>
      </c>
      <c r="DF8" s="4">
        <f>VLOOKUP(B8,[1]Ranking!$C$3:$BM$19, 63, FALSE)</f>
        <v>359.01159540979097</v>
      </c>
      <c r="DG8" s="4">
        <f t="shared" si="83"/>
        <v>5.8854359903244422</v>
      </c>
    </row>
    <row r="9" spans="1:111" x14ac:dyDescent="0.3">
      <c r="A9" s="8">
        <v>7</v>
      </c>
      <c r="B9" s="8" t="str">
        <f>VLOOKUP(A9,[1]Ranking!$Z$3:$AA$19, 2, FALSE)</f>
        <v>McEnroe</v>
      </c>
      <c r="C9" s="8" t="s">
        <v>44</v>
      </c>
      <c r="D9" s="3">
        <f t="shared" ca="1" si="53"/>
        <v>0.93908353436726222</v>
      </c>
      <c r="E9" s="8">
        <f t="shared" ca="1" si="54"/>
        <v>2</v>
      </c>
      <c r="F9" s="8" t="str">
        <f t="shared" si="84"/>
        <v>McEnroe</v>
      </c>
      <c r="G9" s="8">
        <f>VLOOKUP($C9,[1]Data!$C$3:$Z$86,G$1, FALSE)</f>
        <v>139</v>
      </c>
      <c r="H9" s="8">
        <f>VLOOKUP($C9,[1]Data!$C$3:$Z$86,H$1, FALSE)</f>
        <v>258</v>
      </c>
      <c r="I9" s="8">
        <f>VLOOKUP($C9,[1]Data!$C$3:$Z$86,I$1, FALSE)</f>
        <v>480</v>
      </c>
      <c r="J9" s="8">
        <f>VLOOKUP($C9,[1]Data!$C$3:$Z$86,J$1, FALSE)</f>
        <v>439</v>
      </c>
      <c r="K9" s="8">
        <f>VLOOKUP($C9,[1]Data!$C$3:$Z$86,K$1, FALSE)</f>
        <v>434</v>
      </c>
      <c r="L9" s="8">
        <f>VLOOKUP($C9,[1]Data!$C$3:$Z$86,L$1, FALSE)</f>
        <v>228</v>
      </c>
      <c r="M9" s="8">
        <f>VLOOKUP($C9,[1]Data!$C$3:$Z$86,M$1, FALSE)</f>
        <v>16</v>
      </c>
      <c r="N9" s="8">
        <f>VLOOKUP($C9,[1]Data!$C$3:$Z$86,N$1, FALSE)</f>
        <v>424</v>
      </c>
      <c r="O9" s="8">
        <f>VLOOKUP($C9,[1]Data!$C$3:$Z$86,O$1, FALSE)</f>
        <v>337</v>
      </c>
      <c r="P9" s="8">
        <f>VLOOKUP($C9,[1]Data!$C$3:$Z$86,P$1, FALSE)</f>
        <v>-20</v>
      </c>
      <c r="Q9" s="8">
        <f>VLOOKUP($C9,[1]Data!$C$3:$Z$86,Q$1, FALSE)</f>
        <v>207</v>
      </c>
      <c r="R9" s="8">
        <f>VLOOKUP($C9,[1]Data!$C$3:$Z$86,R$1, FALSE)</f>
        <v>-35</v>
      </c>
      <c r="S9" s="8">
        <f>VLOOKUP($C9,[1]Data!$C$3:$Z$86,S$1, FALSE)</f>
        <v>-98</v>
      </c>
      <c r="T9" s="8">
        <f>VLOOKUP($C9,[1]Data!$C$3:$Z$86,T$1, FALSE)</f>
        <v>295</v>
      </c>
      <c r="U9" s="8">
        <f>VLOOKUP($C9,[1]Data!$C$3:$Z$86,U$1, FALSE)</f>
        <v>-20</v>
      </c>
      <c r="V9" s="8">
        <f>VLOOKUP($C9,[1]Data!$C$3:$Z$86,V$1, FALSE)</f>
        <v>29</v>
      </c>
      <c r="W9" s="8">
        <f>VLOOKUP($C9,[1]Data!$C$3:$Z$86,W$1, FALSE)</f>
        <v>0</v>
      </c>
      <c r="X9" s="8">
        <f>VLOOKUP($C9,[1]Data!$C$3:$Z$86,X$1, FALSE)</f>
        <v>0</v>
      </c>
      <c r="Y9" s="8">
        <f>VLOOKUP($C9,[1]Data!$C$3:$Z$86,Y$1, FALSE)</f>
        <v>0</v>
      </c>
      <c r="Z9" s="8">
        <f>VLOOKUP($C9,[1]Data!$C$3:$Z$86,Z$1, FALSE)</f>
        <v>0</v>
      </c>
      <c r="AA9" s="8">
        <f>VLOOKUP($C9,[1]Data!$C$3:$Z$86,AA$1, FALSE)</f>
        <v>0</v>
      </c>
      <c r="AB9" s="8">
        <f>VLOOKUP($C9,[1]Data!$C$3:$Z$86,AB$1, FALSE)</f>
        <v>0</v>
      </c>
      <c r="AC9" s="8">
        <f>VLOOKUP($C9,[1]Data!$C$3:$Z$86,AC$1, FALSE)</f>
        <v>0</v>
      </c>
      <c r="AE9" s="8">
        <f t="shared" si="55"/>
        <v>10</v>
      </c>
      <c r="AF9" s="8">
        <f t="shared" si="55"/>
        <v>7</v>
      </c>
      <c r="AG9" s="8">
        <f t="shared" si="55"/>
        <v>1</v>
      </c>
      <c r="AH9" s="8">
        <f t="shared" si="55"/>
        <v>2</v>
      </c>
      <c r="AI9" s="8">
        <f t="shared" si="55"/>
        <v>3</v>
      </c>
      <c r="AJ9" s="8">
        <f t="shared" si="55"/>
        <v>8</v>
      </c>
      <c r="AK9" s="8">
        <f t="shared" si="55"/>
        <v>12</v>
      </c>
      <c r="AL9" s="8">
        <f t="shared" si="55"/>
        <v>4</v>
      </c>
      <c r="AM9" s="8">
        <f t="shared" si="55"/>
        <v>5</v>
      </c>
      <c r="AN9" s="8">
        <f t="shared" si="55"/>
        <v>20</v>
      </c>
      <c r="AO9" s="8">
        <f t="shared" si="55"/>
        <v>9</v>
      </c>
      <c r="AP9" s="8">
        <f t="shared" si="55"/>
        <v>22</v>
      </c>
      <c r="AQ9" s="8">
        <f t="shared" si="55"/>
        <v>23</v>
      </c>
      <c r="AR9" s="8">
        <f t="shared" si="55"/>
        <v>6</v>
      </c>
      <c r="AS9" s="8">
        <f t="shared" si="55"/>
        <v>20</v>
      </c>
      <c r="AT9" s="8">
        <f t="shared" si="55"/>
        <v>11</v>
      </c>
      <c r="AU9" s="8">
        <f t="shared" si="56"/>
        <v>13</v>
      </c>
      <c r="AV9" s="8">
        <f t="shared" si="56"/>
        <v>13</v>
      </c>
      <c r="AW9" s="8">
        <f t="shared" si="56"/>
        <v>13</v>
      </c>
      <c r="AX9" s="8">
        <f t="shared" si="56"/>
        <v>13</v>
      </c>
      <c r="AY9" s="8">
        <f t="shared" si="56"/>
        <v>13</v>
      </c>
      <c r="AZ9" s="8">
        <f t="shared" si="56"/>
        <v>13</v>
      </c>
      <c r="BA9" s="8">
        <f t="shared" si="56"/>
        <v>13</v>
      </c>
      <c r="BC9" s="8">
        <f t="shared" si="57"/>
        <v>139</v>
      </c>
      <c r="BD9" s="8">
        <f t="shared" si="58"/>
        <v>258</v>
      </c>
      <c r="BE9" s="8">
        <f t="shared" si="59"/>
        <v>480</v>
      </c>
      <c r="BF9" s="8">
        <f t="shared" si="60"/>
        <v>439</v>
      </c>
      <c r="BG9" s="8">
        <f t="shared" si="61"/>
        <v>434</v>
      </c>
      <c r="BH9" s="8">
        <f t="shared" si="62"/>
        <v>228</v>
      </c>
      <c r="BI9" s="8">
        <f t="shared" si="63"/>
        <v>16</v>
      </c>
      <c r="BJ9" s="8">
        <f t="shared" si="64"/>
        <v>424</v>
      </c>
      <c r="BK9" s="8">
        <f t="shared" si="65"/>
        <v>337</v>
      </c>
      <c r="BL9" s="8">
        <f>P9</f>
        <v>-20</v>
      </c>
      <c r="BM9" s="8">
        <f t="shared" si="67"/>
        <v>207</v>
      </c>
      <c r="BN9" s="8">
        <f>R9</f>
        <v>-35</v>
      </c>
      <c r="BP9" s="8">
        <f t="shared" si="70"/>
        <v>295</v>
      </c>
      <c r="BQ9" s="8">
        <f>U9</f>
        <v>-20</v>
      </c>
      <c r="BR9" s="8">
        <f t="shared" si="72"/>
        <v>29</v>
      </c>
      <c r="BS9" s="8" t="str">
        <f t="shared" si="73"/>
        <v/>
      </c>
      <c r="BT9" s="8" t="str">
        <f t="shared" si="74"/>
        <v/>
      </c>
      <c r="BU9" s="8" t="str">
        <f t="shared" si="75"/>
        <v/>
      </c>
      <c r="BV9" s="8" t="str">
        <f t="shared" si="76"/>
        <v/>
      </c>
      <c r="BW9" s="8" t="str">
        <f t="shared" si="77"/>
        <v/>
      </c>
      <c r="BX9" s="8" t="str">
        <f t="shared" si="78"/>
        <v/>
      </c>
      <c r="BY9" s="8" t="str">
        <f t="shared" si="79"/>
        <v/>
      </c>
      <c r="BZ9" s="8">
        <f>BC9</f>
        <v>139</v>
      </c>
      <c r="CA9" s="8">
        <f t="shared" ref="CA9:CK12" si="86">BD9</f>
        <v>258</v>
      </c>
      <c r="CB9" s="8">
        <f t="shared" si="86"/>
        <v>480</v>
      </c>
      <c r="CC9" s="8">
        <f t="shared" si="86"/>
        <v>439</v>
      </c>
      <c r="CD9" s="8">
        <f t="shared" si="86"/>
        <v>434</v>
      </c>
      <c r="CE9" s="8">
        <f t="shared" si="86"/>
        <v>228</v>
      </c>
      <c r="CF9" s="8">
        <f t="shared" si="86"/>
        <v>16</v>
      </c>
      <c r="CG9" s="8">
        <f t="shared" si="86"/>
        <v>424</v>
      </c>
      <c r="CH9" s="8">
        <f t="shared" si="86"/>
        <v>337</v>
      </c>
      <c r="CI9" s="8">
        <f t="shared" si="86"/>
        <v>-20</v>
      </c>
      <c r="CJ9" s="8">
        <f t="shared" si="86"/>
        <v>207</v>
      </c>
      <c r="CK9" s="8">
        <f t="shared" si="86"/>
        <v>-35</v>
      </c>
      <c r="CL9" s="8">
        <f>BP9</f>
        <v>295</v>
      </c>
      <c r="CM9" s="8">
        <f>BQ9</f>
        <v>-20</v>
      </c>
      <c r="CN9" s="8">
        <f>BR9</f>
        <v>29</v>
      </c>
      <c r="CO9" s="8" t="str">
        <f t="shared" si="81"/>
        <v>McEnroe</v>
      </c>
      <c r="CP9" s="4">
        <f t="shared" ref="CP9:CP18" si="87">BZ9+$DG9</f>
        <v>150.16221792201389</v>
      </c>
      <c r="CQ9" s="4">
        <f t="shared" si="82"/>
        <v>269.16221792201389</v>
      </c>
      <c r="CR9" s="4">
        <f t="shared" si="82"/>
        <v>491.16221792201389</v>
      </c>
      <c r="CS9" s="4">
        <f t="shared" si="82"/>
        <v>450.16221792201389</v>
      </c>
      <c r="CT9" s="4">
        <f t="shared" si="82"/>
        <v>445.16221792201389</v>
      </c>
      <c r="CU9" s="4">
        <f t="shared" si="82"/>
        <v>239.16221792201389</v>
      </c>
      <c r="CV9" s="4">
        <f t="shared" si="82"/>
        <v>27.162217922013891</v>
      </c>
      <c r="CW9" s="4">
        <f t="shared" si="82"/>
        <v>435.16221792201389</v>
      </c>
      <c r="CX9" s="4">
        <f t="shared" si="82"/>
        <v>348.16221792201389</v>
      </c>
      <c r="CY9" s="4">
        <f t="shared" si="82"/>
        <v>-8.8377820779861089</v>
      </c>
      <c r="CZ9" s="4">
        <f t="shared" ref="CZ9:DC10" si="88">CJ9+$DG9</f>
        <v>218.16221792201389</v>
      </c>
      <c r="DA9" s="4">
        <f t="shared" si="88"/>
        <v>-23.837782077986109</v>
      </c>
      <c r="DB9" s="4">
        <f t="shared" si="88"/>
        <v>306.16221792201389</v>
      </c>
      <c r="DC9" s="4">
        <f t="shared" si="88"/>
        <v>-8.8377820779861089</v>
      </c>
      <c r="DD9" s="4"/>
      <c r="DE9" s="8">
        <f>VLOOKUP(B9,[1]Ranking!$C$3:$BM$19, 34, FALSE)</f>
        <v>45</v>
      </c>
      <c r="DF9" s="4">
        <f>VLOOKUP(B9,[1]Ranking!$C$3:$BM$19, 63, FALSE)</f>
        <v>502.29980649062509</v>
      </c>
      <c r="DG9" s="4">
        <f t="shared" si="83"/>
        <v>11.162217922013891</v>
      </c>
    </row>
    <row r="10" spans="1:111" x14ac:dyDescent="0.3">
      <c r="A10" s="8">
        <v>8</v>
      </c>
      <c r="B10" s="8" t="str">
        <f>VLOOKUP(A10,[1]Ranking!$Z$3:$AA$19, 2, FALSE)</f>
        <v>Nadal</v>
      </c>
      <c r="C10" s="8" t="s">
        <v>45</v>
      </c>
      <c r="D10" s="3">
        <f t="shared" ca="1" si="53"/>
        <v>0.44418736130880354</v>
      </c>
      <c r="E10" s="8">
        <f t="shared" ca="1" si="54"/>
        <v>6</v>
      </c>
      <c r="F10" s="8" t="str">
        <f t="shared" si="84"/>
        <v>Nadal</v>
      </c>
      <c r="G10" s="8">
        <f>VLOOKUP($C10,[1]Data!$C$3:$Z$86,G$1, FALSE)</f>
        <v>17</v>
      </c>
      <c r="H10" s="8">
        <f>VLOOKUP($C10,[1]Data!$C$3:$Z$86,H$1, FALSE)</f>
        <v>-1</v>
      </c>
      <c r="I10" s="8">
        <f>VLOOKUP($C10,[1]Data!$C$3:$Z$86,I$1, FALSE)</f>
        <v>-49</v>
      </c>
      <c r="J10" s="8">
        <f>VLOOKUP($C10,[1]Data!$C$3:$Z$86,J$1, FALSE)</f>
        <v>15</v>
      </c>
      <c r="K10" s="8">
        <f>VLOOKUP($C10,[1]Data!$C$3:$Z$86,K$1, FALSE)</f>
        <v>56</v>
      </c>
      <c r="L10" s="8">
        <f>VLOOKUP($C10,[1]Data!$C$3:$Z$86,L$1, FALSE)</f>
        <v>155</v>
      </c>
      <c r="M10" s="8">
        <f>VLOOKUP($C10,[1]Data!$C$3:$Z$86,M$1, FALSE)</f>
        <v>313</v>
      </c>
      <c r="N10" s="8">
        <f>VLOOKUP($C10,[1]Data!$C$3:$Z$86,N$1, FALSE)</f>
        <v>530</v>
      </c>
      <c r="O10" s="8">
        <f>VLOOKUP($C10,[1]Data!$C$3:$Z$86,O$1, FALSE)</f>
        <v>262</v>
      </c>
      <c r="P10" s="8">
        <f>VLOOKUP($C10,[1]Data!$C$3:$Z$86,P$1, FALSE)</f>
        <v>0</v>
      </c>
      <c r="Q10" s="8">
        <f>VLOOKUP($C10,[1]Data!$C$3:$Z$86,Q$1, FALSE)</f>
        <v>464</v>
      </c>
      <c r="R10" s="8">
        <f>VLOOKUP($C10,[1]Data!$C$3:$Z$86,R$1, FALSE)</f>
        <v>0</v>
      </c>
      <c r="S10" s="8">
        <f>VLOOKUP($C10,[1]Data!$C$3:$Z$86,S$1, FALSE)</f>
        <v>61</v>
      </c>
      <c r="T10" s="8">
        <f>VLOOKUP($C10,[1]Data!$C$3:$Z$86,T$1, FALSE)</f>
        <v>43</v>
      </c>
      <c r="U10" s="8">
        <f>VLOOKUP($C10,[1]Data!$C$3:$Z$86,U$1, FALSE)</f>
        <v>298</v>
      </c>
      <c r="V10" s="8">
        <f>VLOOKUP($C10,[1]Data!$C$3:$Z$86,V$1, FALSE)</f>
        <v>0</v>
      </c>
      <c r="W10" s="8">
        <f>VLOOKUP($C10,[1]Data!$C$3:$Z$86,W$1, FALSE)</f>
        <v>0</v>
      </c>
      <c r="X10" s="8">
        <f>VLOOKUP($C10,[1]Data!$C$3:$Z$86,X$1, FALSE)</f>
        <v>0</v>
      </c>
      <c r="Y10" s="8">
        <f>VLOOKUP($C10,[1]Data!$C$3:$Z$86,Y$1, FALSE)</f>
        <v>0</v>
      </c>
      <c r="Z10" s="8">
        <f>VLOOKUP($C10,[1]Data!$C$3:$Z$86,Z$1, FALSE)</f>
        <v>0</v>
      </c>
      <c r="AA10" s="8">
        <f>VLOOKUP($C10,[1]Data!$C$3:$Z$86,AA$1, FALSE)</f>
        <v>0</v>
      </c>
      <c r="AB10" s="8">
        <f>VLOOKUP($C10,[1]Data!$C$3:$Z$86,AB$1, FALSE)</f>
        <v>0</v>
      </c>
      <c r="AC10" s="8">
        <f>VLOOKUP($C10,[1]Data!$C$3:$Z$86,AC$1, FALSE)</f>
        <v>0</v>
      </c>
      <c r="AE10" s="8">
        <f t="shared" si="55"/>
        <v>10</v>
      </c>
      <c r="AF10" s="8">
        <f t="shared" si="55"/>
        <v>22</v>
      </c>
      <c r="AG10" s="8">
        <f t="shared" si="55"/>
        <v>23</v>
      </c>
      <c r="AH10" s="8">
        <f t="shared" si="55"/>
        <v>11</v>
      </c>
      <c r="AI10" s="8">
        <f t="shared" si="55"/>
        <v>8</v>
      </c>
      <c r="AJ10" s="8">
        <f t="shared" si="55"/>
        <v>6</v>
      </c>
      <c r="AK10" s="8">
        <f t="shared" si="55"/>
        <v>3</v>
      </c>
      <c r="AL10" s="8">
        <f t="shared" si="55"/>
        <v>1</v>
      </c>
      <c r="AM10" s="8">
        <f t="shared" si="55"/>
        <v>5</v>
      </c>
      <c r="AN10" s="8">
        <f t="shared" si="55"/>
        <v>12</v>
      </c>
      <c r="AO10" s="8">
        <f t="shared" si="55"/>
        <v>2</v>
      </c>
      <c r="AP10" s="8">
        <f t="shared" si="55"/>
        <v>12</v>
      </c>
      <c r="AQ10" s="8">
        <f t="shared" si="55"/>
        <v>7</v>
      </c>
      <c r="AR10" s="8">
        <f t="shared" si="55"/>
        <v>9</v>
      </c>
      <c r="AS10" s="8">
        <f t="shared" si="55"/>
        <v>4</v>
      </c>
      <c r="AT10" s="8">
        <f t="shared" si="55"/>
        <v>12</v>
      </c>
      <c r="AU10" s="8">
        <f t="shared" si="56"/>
        <v>12</v>
      </c>
      <c r="AV10" s="8">
        <f t="shared" si="56"/>
        <v>12</v>
      </c>
      <c r="AW10" s="8">
        <f t="shared" si="56"/>
        <v>12</v>
      </c>
      <c r="AX10" s="8">
        <f t="shared" si="56"/>
        <v>12</v>
      </c>
      <c r="AY10" s="8">
        <f t="shared" si="56"/>
        <v>12</v>
      </c>
      <c r="AZ10" s="8">
        <f t="shared" si="56"/>
        <v>12</v>
      </c>
      <c r="BA10" s="8">
        <f t="shared" si="56"/>
        <v>12</v>
      </c>
      <c r="BC10" s="8">
        <f t="shared" si="57"/>
        <v>17</v>
      </c>
      <c r="BD10" s="8">
        <f>H10</f>
        <v>-1</v>
      </c>
      <c r="BE10" s="8">
        <f>I10</f>
        <v>-49</v>
      </c>
      <c r="BF10" s="8">
        <f t="shared" si="60"/>
        <v>15</v>
      </c>
      <c r="BG10" s="8">
        <f t="shared" si="61"/>
        <v>56</v>
      </c>
      <c r="BH10" s="8">
        <f t="shared" si="62"/>
        <v>155</v>
      </c>
      <c r="BI10" s="8">
        <f t="shared" si="63"/>
        <v>313</v>
      </c>
      <c r="BJ10" s="8">
        <f t="shared" si="64"/>
        <v>530</v>
      </c>
      <c r="BK10" s="8">
        <f t="shared" si="65"/>
        <v>262</v>
      </c>
      <c r="BL10" s="8" t="str">
        <f t="shared" si="66"/>
        <v/>
      </c>
      <c r="BM10" s="8">
        <f t="shared" si="67"/>
        <v>464</v>
      </c>
      <c r="BN10" s="8" t="str">
        <f t="shared" si="68"/>
        <v/>
      </c>
      <c r="BO10" s="8">
        <f t="shared" si="69"/>
        <v>61</v>
      </c>
      <c r="BP10" s="8">
        <f t="shared" si="70"/>
        <v>43</v>
      </c>
      <c r="BQ10" s="8">
        <f t="shared" si="71"/>
        <v>298</v>
      </c>
      <c r="BR10" s="8" t="str">
        <f t="shared" si="72"/>
        <v/>
      </c>
      <c r="BS10" s="8" t="str">
        <f t="shared" si="73"/>
        <v/>
      </c>
      <c r="BT10" s="8" t="str">
        <f t="shared" si="74"/>
        <v/>
      </c>
      <c r="BU10" s="8" t="str">
        <f t="shared" si="75"/>
        <v/>
      </c>
      <c r="BV10" s="8" t="str">
        <f t="shared" si="76"/>
        <v/>
      </c>
      <c r="BW10" s="8" t="str">
        <f t="shared" si="77"/>
        <v/>
      </c>
      <c r="BX10" s="8" t="str">
        <f t="shared" si="78"/>
        <v/>
      </c>
      <c r="BY10" s="8" t="str">
        <f t="shared" si="79"/>
        <v/>
      </c>
      <c r="BZ10" s="8">
        <f>BC10</f>
        <v>17</v>
      </c>
      <c r="CA10" s="8">
        <f t="shared" si="86"/>
        <v>-1</v>
      </c>
      <c r="CB10" s="8">
        <f t="shared" si="86"/>
        <v>-49</v>
      </c>
      <c r="CC10" s="8">
        <f t="shared" si="86"/>
        <v>15</v>
      </c>
      <c r="CD10" s="8">
        <f t="shared" si="86"/>
        <v>56</v>
      </c>
      <c r="CE10" s="8">
        <f t="shared" si="86"/>
        <v>155</v>
      </c>
      <c r="CF10" s="8">
        <f t="shared" si="86"/>
        <v>313</v>
      </c>
      <c r="CG10" s="8">
        <f t="shared" si="86"/>
        <v>530</v>
      </c>
      <c r="CH10" s="8">
        <f t="shared" si="86"/>
        <v>262</v>
      </c>
      <c r="CI10" s="8">
        <f>BM10</f>
        <v>464</v>
      </c>
      <c r="CJ10" s="8">
        <f>BO10</f>
        <v>61</v>
      </c>
      <c r="CK10" s="8">
        <f>BP10</f>
        <v>43</v>
      </c>
      <c r="CL10" s="8">
        <f>BQ10</f>
        <v>298</v>
      </c>
      <c r="CO10" s="8" t="str">
        <f t="shared" si="81"/>
        <v>Nadal</v>
      </c>
      <c r="CP10" s="4">
        <f t="shared" si="87"/>
        <v>9.2278827553635772</v>
      </c>
      <c r="CQ10" s="4">
        <f t="shared" si="82"/>
        <v>-8.7721172446364228</v>
      </c>
      <c r="CR10" s="4">
        <f t="shared" si="82"/>
        <v>-56.772117244636419</v>
      </c>
      <c r="CS10" s="4">
        <f t="shared" si="82"/>
        <v>7.2278827553635772</v>
      </c>
      <c r="CT10" s="4">
        <f t="shared" si="82"/>
        <v>48.227882755363581</v>
      </c>
      <c r="CU10" s="4">
        <f>CE10+$DG10</f>
        <v>147.22788275536357</v>
      </c>
      <c r="CV10" s="4">
        <f>CE10+$DG10</f>
        <v>147.22788275536357</v>
      </c>
      <c r="CW10" s="4">
        <f t="shared" si="82"/>
        <v>522.22788275536357</v>
      </c>
      <c r="CX10" s="4">
        <f t="shared" si="82"/>
        <v>254.22788275536357</v>
      </c>
      <c r="CY10" s="4">
        <f t="shared" si="82"/>
        <v>456.22788275536357</v>
      </c>
      <c r="CZ10" s="4">
        <f t="shared" si="88"/>
        <v>53.227882755363581</v>
      </c>
      <c r="DA10" s="4">
        <f t="shared" si="88"/>
        <v>35.227882755363581</v>
      </c>
      <c r="DB10" s="4">
        <f t="shared" si="88"/>
        <v>290.22788275536357</v>
      </c>
      <c r="DC10" s="4">
        <f t="shared" si="88"/>
        <v>-7.7721172446364228</v>
      </c>
      <c r="DD10" s="4"/>
      <c r="DE10" s="8">
        <f>VLOOKUP(B10,[1]Ranking!$C$3:$BM$19, 34, FALSE)</f>
        <v>53</v>
      </c>
      <c r="DF10" s="4">
        <f>VLOOKUP(B10,[1]Ranking!$C$3:$BM$19, 63, FALSE)</f>
        <v>-411.92221396573041</v>
      </c>
      <c r="DG10" s="4">
        <f t="shared" si="83"/>
        <v>-7.7721172446364228</v>
      </c>
    </row>
    <row r="11" spans="1:111" x14ac:dyDescent="0.3">
      <c r="A11" s="8">
        <v>9</v>
      </c>
      <c r="B11" s="8" t="str">
        <f>VLOOKUP(A11,[1]Ranking!$Z$3:$AA$19, 2, FALSE)</f>
        <v>Borg</v>
      </c>
      <c r="C11" s="8" t="s">
        <v>46</v>
      </c>
      <c r="D11" s="3">
        <f t="shared" ca="1" si="53"/>
        <v>0.49786127948730952</v>
      </c>
      <c r="E11" s="8">
        <f t="shared" ca="1" si="54"/>
        <v>5</v>
      </c>
      <c r="F11" s="8" t="str">
        <f t="shared" si="84"/>
        <v>Borg</v>
      </c>
      <c r="G11" s="8">
        <f>VLOOKUP($C11,[1]Data!$C$3:$Z$86,G$1, FALSE)</f>
        <v>96</v>
      </c>
      <c r="H11" s="8">
        <f>VLOOKUP($C11,[1]Data!$C$3:$Z$86,H$1, FALSE)</f>
        <v>-38</v>
      </c>
      <c r="I11" s="8">
        <f>VLOOKUP($C11,[1]Data!$C$3:$Z$86,I$1, FALSE)</f>
        <v>317</v>
      </c>
      <c r="J11" s="8">
        <f>VLOOKUP($C11,[1]Data!$C$3:$Z$86,J$1, FALSE)</f>
        <v>390</v>
      </c>
      <c r="K11" s="8">
        <f>VLOOKUP($C11,[1]Data!$C$3:$Z$86,K$1, FALSE)</f>
        <v>3</v>
      </c>
      <c r="L11" s="8">
        <f>VLOOKUP($C11,[1]Data!$C$3:$Z$86,L$1, FALSE)</f>
        <v>366</v>
      </c>
      <c r="M11" s="8">
        <f>VLOOKUP($C11,[1]Data!$C$3:$Z$86,M$1, FALSE)</f>
        <v>81</v>
      </c>
      <c r="N11" s="8">
        <f>VLOOKUP($C11,[1]Data!$C$3:$Z$86,N$1, FALSE)</f>
        <v>432</v>
      </c>
      <c r="O11" s="8">
        <f>VLOOKUP($C11,[1]Data!$C$3:$Z$86,O$1, FALSE)</f>
        <v>306</v>
      </c>
      <c r="P11" s="8">
        <f>VLOOKUP($C11,[1]Data!$C$3:$Z$86,P$1, FALSE)</f>
        <v>0</v>
      </c>
      <c r="Q11" s="8">
        <f>VLOOKUP($C11,[1]Data!$C$3:$Z$86,Q$1, FALSE)</f>
        <v>0</v>
      </c>
      <c r="R11" s="8">
        <f>VLOOKUP($C11,[1]Data!$C$3:$Z$86,R$1, FALSE)</f>
        <v>0</v>
      </c>
      <c r="S11" s="8">
        <f>VLOOKUP($C11,[1]Data!$C$3:$Z$86,S$1, FALSE)</f>
        <v>0</v>
      </c>
      <c r="T11" s="8">
        <f>VLOOKUP($C11,[1]Data!$C$3:$Z$86,T$1, FALSE)</f>
        <v>0</v>
      </c>
      <c r="U11" s="8">
        <f>VLOOKUP($C11,[1]Data!$C$3:$Z$86,U$1, FALSE)</f>
        <v>0</v>
      </c>
      <c r="V11" s="8">
        <f>VLOOKUP($C11,[1]Data!$C$3:$Z$86,V$1, FALSE)</f>
        <v>0</v>
      </c>
      <c r="W11" s="8">
        <f>VLOOKUP($C11,[1]Data!$C$3:$Z$86,W$1, FALSE)</f>
        <v>0</v>
      </c>
      <c r="X11" s="8">
        <f>VLOOKUP($C11,[1]Data!$C$3:$Z$86,X$1, FALSE)</f>
        <v>0</v>
      </c>
      <c r="Y11" s="8">
        <f>VLOOKUP($C11,[1]Data!$C$3:$Z$86,Y$1, FALSE)</f>
        <v>0</v>
      </c>
      <c r="Z11" s="8">
        <f>VLOOKUP($C11,[1]Data!$C$3:$Z$86,Z$1, FALSE)</f>
        <v>0</v>
      </c>
      <c r="AA11" s="8">
        <f>VLOOKUP($C11,[1]Data!$C$3:$Z$86,AA$1, FALSE)</f>
        <v>0</v>
      </c>
      <c r="AB11" s="8">
        <f>VLOOKUP($C11,[1]Data!$C$3:$Z$86,AB$1, FALSE)</f>
        <v>0</v>
      </c>
      <c r="AC11" s="8">
        <f>VLOOKUP($C11,[1]Data!$C$3:$Z$86,AC$1, FALSE)</f>
        <v>0</v>
      </c>
      <c r="AE11" s="8">
        <f t="shared" si="55"/>
        <v>6</v>
      </c>
      <c r="AF11" s="8">
        <f t="shared" si="55"/>
        <v>23</v>
      </c>
      <c r="AG11" s="8">
        <f t="shared" si="55"/>
        <v>4</v>
      </c>
      <c r="AH11" s="8">
        <f t="shared" si="55"/>
        <v>2</v>
      </c>
      <c r="AI11" s="8">
        <f t="shared" si="55"/>
        <v>8</v>
      </c>
      <c r="AJ11" s="8">
        <f t="shared" si="55"/>
        <v>3</v>
      </c>
      <c r="AK11" s="8">
        <f t="shared" si="55"/>
        <v>7</v>
      </c>
      <c r="AL11" s="8">
        <f t="shared" si="55"/>
        <v>1</v>
      </c>
      <c r="AM11" s="8">
        <f t="shared" si="55"/>
        <v>5</v>
      </c>
      <c r="AN11" s="8">
        <f t="shared" si="55"/>
        <v>9</v>
      </c>
      <c r="AO11" s="8">
        <f t="shared" si="55"/>
        <v>9</v>
      </c>
      <c r="AP11" s="8">
        <f t="shared" si="55"/>
        <v>9</v>
      </c>
      <c r="AQ11" s="8">
        <f t="shared" si="55"/>
        <v>9</v>
      </c>
      <c r="AR11" s="8">
        <f t="shared" si="55"/>
        <v>9</v>
      </c>
      <c r="AS11" s="8">
        <f t="shared" si="55"/>
        <v>9</v>
      </c>
      <c r="AT11" s="8">
        <f t="shared" si="55"/>
        <v>9</v>
      </c>
      <c r="AU11" s="8">
        <f t="shared" si="56"/>
        <v>9</v>
      </c>
      <c r="AV11" s="8">
        <f t="shared" si="56"/>
        <v>9</v>
      </c>
      <c r="AW11" s="8">
        <f t="shared" si="56"/>
        <v>9</v>
      </c>
      <c r="AX11" s="8">
        <f t="shared" si="56"/>
        <v>9</v>
      </c>
      <c r="AY11" s="8">
        <f t="shared" si="56"/>
        <v>9</v>
      </c>
      <c r="AZ11" s="8">
        <f t="shared" si="56"/>
        <v>9</v>
      </c>
      <c r="BA11" s="8">
        <f t="shared" si="56"/>
        <v>9</v>
      </c>
      <c r="BC11" s="8">
        <f t="shared" si="57"/>
        <v>96</v>
      </c>
      <c r="BD11" s="8">
        <f>H11</f>
        <v>-38</v>
      </c>
      <c r="BE11" s="8">
        <f t="shared" si="59"/>
        <v>317</v>
      </c>
      <c r="BF11" s="8">
        <f t="shared" si="60"/>
        <v>390</v>
      </c>
      <c r="BG11" s="8">
        <f t="shared" si="61"/>
        <v>3</v>
      </c>
      <c r="BH11" s="8">
        <f t="shared" si="62"/>
        <v>366</v>
      </c>
      <c r="BI11" s="8">
        <f t="shared" si="63"/>
        <v>81</v>
      </c>
      <c r="BJ11" s="8">
        <f t="shared" si="64"/>
        <v>432</v>
      </c>
      <c r="BK11" s="8">
        <f t="shared" si="65"/>
        <v>306</v>
      </c>
      <c r="BL11" s="8" t="str">
        <f t="shared" si="66"/>
        <v/>
      </c>
      <c r="BM11" s="8" t="str">
        <f t="shared" si="67"/>
        <v/>
      </c>
      <c r="BN11" s="8" t="str">
        <f t="shared" si="68"/>
        <v/>
      </c>
      <c r="BO11" s="8" t="str">
        <f t="shared" si="69"/>
        <v/>
      </c>
      <c r="BP11" s="8" t="str">
        <f t="shared" si="70"/>
        <v/>
      </c>
      <c r="BQ11" s="8" t="str">
        <f t="shared" si="71"/>
        <v/>
      </c>
      <c r="BR11" s="8" t="str">
        <f t="shared" si="72"/>
        <v/>
      </c>
      <c r="BS11" s="8" t="str">
        <f t="shared" si="73"/>
        <v/>
      </c>
      <c r="BT11" s="8" t="str">
        <f t="shared" si="74"/>
        <v/>
      </c>
      <c r="BU11" s="8" t="str">
        <f t="shared" si="75"/>
        <v/>
      </c>
      <c r="BV11" s="8" t="str">
        <f t="shared" si="76"/>
        <v/>
      </c>
      <c r="BW11" s="8" t="str">
        <f t="shared" si="77"/>
        <v/>
      </c>
      <c r="BX11" s="8" t="str">
        <f t="shared" si="78"/>
        <v/>
      </c>
      <c r="BY11" s="8" t="str">
        <f t="shared" si="79"/>
        <v/>
      </c>
      <c r="BZ11" s="8">
        <f>BC11</f>
        <v>96</v>
      </c>
      <c r="CA11" s="8">
        <f t="shared" si="86"/>
        <v>-38</v>
      </c>
      <c r="CB11" s="8">
        <f t="shared" si="86"/>
        <v>317</v>
      </c>
      <c r="CC11" s="8">
        <f t="shared" si="86"/>
        <v>390</v>
      </c>
      <c r="CD11" s="8">
        <f t="shared" si="86"/>
        <v>3</v>
      </c>
      <c r="CE11" s="8">
        <f t="shared" si="86"/>
        <v>366</v>
      </c>
      <c r="CF11" s="8">
        <f t="shared" si="86"/>
        <v>81</v>
      </c>
      <c r="CG11" s="8">
        <f t="shared" si="86"/>
        <v>432</v>
      </c>
      <c r="CH11" s="8">
        <f t="shared" si="86"/>
        <v>306</v>
      </c>
      <c r="CO11" s="8" t="str">
        <f t="shared" si="81"/>
        <v>Borg</v>
      </c>
      <c r="CP11" s="4">
        <f t="shared" si="87"/>
        <v>107.16221792201388</v>
      </c>
      <c r="CQ11" s="4">
        <f>CA11+$DG11</f>
        <v>-26.837782077986116</v>
      </c>
      <c r="CR11" s="4">
        <f>CA11+$DG11</f>
        <v>-26.837782077986116</v>
      </c>
      <c r="CS11" s="4">
        <f t="shared" si="82"/>
        <v>401.16221792201389</v>
      </c>
      <c r="CT11" s="4">
        <f t="shared" si="82"/>
        <v>14.162217922013884</v>
      </c>
      <c r="CU11" s="4">
        <f t="shared" si="82"/>
        <v>377.16221792201389</v>
      </c>
      <c r="CV11" s="4">
        <f t="shared" si="82"/>
        <v>92.16221792201388</v>
      </c>
      <c r="CW11" s="4">
        <f t="shared" si="82"/>
        <v>443.16221792201389</v>
      </c>
      <c r="CX11" s="4">
        <f t="shared" si="82"/>
        <v>317.16221792201389</v>
      </c>
      <c r="CY11" s="4">
        <f t="shared" si="82"/>
        <v>11.162217922013884</v>
      </c>
      <c r="CZ11" s="4">
        <f>CJ11+$DG11</f>
        <v>11.162217922013884</v>
      </c>
      <c r="DA11" s="4">
        <f t="shared" ref="DA11:DC13" si="89">CK11+$DG11</f>
        <v>11.162217922013884</v>
      </c>
      <c r="DB11" s="4">
        <f t="shared" si="89"/>
        <v>11.162217922013884</v>
      </c>
      <c r="DC11" s="4"/>
      <c r="DD11" s="4"/>
      <c r="DE11" s="8">
        <f>VLOOKUP(B11,[1]Ranking!$C$3:$BM$19, 34, FALSE)</f>
        <v>27</v>
      </c>
      <c r="DF11" s="4">
        <f>VLOOKUP(B11,[1]Ranking!$C$3:$BM$19, 63, FALSE)</f>
        <v>301.37988389437487</v>
      </c>
      <c r="DG11" s="4">
        <f t="shared" si="83"/>
        <v>11.162217922013884</v>
      </c>
    </row>
    <row r="12" spans="1:111" x14ac:dyDescent="0.3">
      <c r="A12" s="8">
        <v>10</v>
      </c>
      <c r="B12" s="8" t="str">
        <f>VLOOKUP(A12,[1]Ranking!$Z$3:$AA$19, 2, FALSE)</f>
        <v>Murray</v>
      </c>
      <c r="C12" s="8" t="s">
        <v>47</v>
      </c>
      <c r="D12" s="3">
        <f t="shared" ca="1" si="53"/>
        <v>0.65438408159458517</v>
      </c>
      <c r="E12" s="8">
        <f t="shared" ca="1" si="54"/>
        <v>4</v>
      </c>
      <c r="F12" s="8" t="str">
        <f t="shared" si="84"/>
        <v>Murray</v>
      </c>
      <c r="G12" s="8">
        <f>VLOOKUP($C12,[1]Data!$C$3:$Z$86,G$1, FALSE)</f>
        <v>-38</v>
      </c>
      <c r="H12" s="8">
        <f>VLOOKUP($C12,[1]Data!$C$3:$Z$86,H$1, FALSE)</f>
        <v>90</v>
      </c>
      <c r="I12" s="8">
        <f>VLOOKUP($C12,[1]Data!$C$3:$Z$86,I$1, FALSE)</f>
        <v>3</v>
      </c>
      <c r="J12" s="8">
        <f>VLOOKUP($C12,[1]Data!$C$3:$Z$86,J$1, FALSE)</f>
        <v>415</v>
      </c>
      <c r="K12" s="8">
        <f>VLOOKUP($C12,[1]Data!$C$3:$Z$86,K$1, FALSE)</f>
        <v>3</v>
      </c>
      <c r="L12" s="8">
        <f>VLOOKUP($C12,[1]Data!$C$3:$Z$86,L$1, FALSE)</f>
        <v>5</v>
      </c>
      <c r="M12" s="8">
        <f>VLOOKUP($C12,[1]Data!$C$3:$Z$86,M$1, FALSE)</f>
        <v>261</v>
      </c>
      <c r="N12" s="8">
        <f>VLOOKUP($C12,[1]Data!$C$3:$Z$86,N$1, FALSE)</f>
        <v>513</v>
      </c>
      <c r="O12" s="8">
        <f>VLOOKUP($C12,[1]Data!$C$3:$Z$86,O$1, FALSE)</f>
        <v>159</v>
      </c>
      <c r="P12" s="8">
        <f>VLOOKUP($C12,[1]Data!$C$3:$Z$86,P$1, FALSE)</f>
        <v>135</v>
      </c>
      <c r="Q12" s="8">
        <f>VLOOKUP($C12,[1]Data!$C$3:$Z$86,Q$1, FALSE)</f>
        <v>183</v>
      </c>
      <c r="R12" s="8">
        <f>VLOOKUP($C12,[1]Data!$C$3:$Z$86,R$1, FALSE)</f>
        <v>216</v>
      </c>
      <c r="S12" s="8">
        <f>VLOOKUP($C12,[1]Data!$C$3:$Z$86,S$1, FALSE)</f>
        <v>0</v>
      </c>
      <c r="T12" s="8">
        <f>VLOOKUP($C12,[1]Data!$C$3:$Z$86,T$1, FALSE)</f>
        <v>0</v>
      </c>
      <c r="U12" s="8">
        <f>VLOOKUP($C12,[1]Data!$C$3:$Z$86,U$1, FALSE)</f>
        <v>0</v>
      </c>
      <c r="V12" s="8">
        <f>VLOOKUP($C12,[1]Data!$C$3:$Z$86,V$1, FALSE)</f>
        <v>0</v>
      </c>
      <c r="W12" s="8">
        <f>VLOOKUP($C12,[1]Data!$C$3:$Z$86,W$1, FALSE)</f>
        <v>0</v>
      </c>
      <c r="X12" s="8">
        <f>VLOOKUP($C12,[1]Data!$C$3:$Z$86,X$1, FALSE)</f>
        <v>0</v>
      </c>
      <c r="Y12" s="8">
        <f>VLOOKUP($C12,[1]Data!$C$3:$Z$86,Y$1, FALSE)</f>
        <v>0</v>
      </c>
      <c r="Z12" s="8">
        <f>VLOOKUP($C12,[1]Data!$C$3:$Z$86,Z$1, FALSE)</f>
        <v>0</v>
      </c>
      <c r="AA12" s="8">
        <f>VLOOKUP($C12,[1]Data!$C$3:$Z$86,AA$1, FALSE)</f>
        <v>0</v>
      </c>
      <c r="AB12" s="8">
        <f>VLOOKUP($C12,[1]Data!$C$3:$Z$86,AB$1, FALSE)</f>
        <v>0</v>
      </c>
      <c r="AC12" s="8">
        <f>VLOOKUP($C12,[1]Data!$C$3:$Z$86,AC$1, FALSE)</f>
        <v>0</v>
      </c>
      <c r="AE12" s="8">
        <f t="shared" si="55"/>
        <v>23</v>
      </c>
      <c r="AF12" s="8">
        <f t="shared" si="55"/>
        <v>8</v>
      </c>
      <c r="AG12" s="8">
        <f t="shared" si="55"/>
        <v>10</v>
      </c>
      <c r="AH12" s="8">
        <f t="shared" si="55"/>
        <v>2</v>
      </c>
      <c r="AI12" s="8">
        <f t="shared" si="55"/>
        <v>10</v>
      </c>
      <c r="AJ12" s="8">
        <f t="shared" si="55"/>
        <v>9</v>
      </c>
      <c r="AK12" s="8">
        <f t="shared" si="55"/>
        <v>3</v>
      </c>
      <c r="AL12" s="8">
        <f t="shared" si="55"/>
        <v>1</v>
      </c>
      <c r="AM12" s="8">
        <f t="shared" si="55"/>
        <v>6</v>
      </c>
      <c r="AN12" s="8">
        <f t="shared" si="55"/>
        <v>7</v>
      </c>
      <c r="AO12" s="8">
        <f t="shared" si="55"/>
        <v>5</v>
      </c>
      <c r="AP12" s="8">
        <f t="shared" si="55"/>
        <v>4</v>
      </c>
      <c r="AQ12" s="8">
        <f t="shared" si="55"/>
        <v>12</v>
      </c>
      <c r="AR12" s="8">
        <f t="shared" si="55"/>
        <v>12</v>
      </c>
      <c r="AS12" s="8">
        <f t="shared" si="55"/>
        <v>12</v>
      </c>
      <c r="AT12" s="8">
        <f t="shared" si="55"/>
        <v>12</v>
      </c>
      <c r="AU12" s="8">
        <f t="shared" si="56"/>
        <v>12</v>
      </c>
      <c r="AV12" s="8">
        <f t="shared" si="56"/>
        <v>12</v>
      </c>
      <c r="AW12" s="8">
        <f t="shared" si="56"/>
        <v>12</v>
      </c>
      <c r="AX12" s="8">
        <f t="shared" si="56"/>
        <v>12</v>
      </c>
      <c r="AY12" s="8">
        <f t="shared" si="56"/>
        <v>12</v>
      </c>
      <c r="AZ12" s="8">
        <f t="shared" si="56"/>
        <v>12</v>
      </c>
      <c r="BA12" s="8">
        <f t="shared" si="56"/>
        <v>12</v>
      </c>
      <c r="BC12" s="8">
        <f>G12</f>
        <v>-38</v>
      </c>
      <c r="BD12" s="8">
        <f t="shared" si="58"/>
        <v>90</v>
      </c>
      <c r="BE12" s="8">
        <f t="shared" si="59"/>
        <v>3</v>
      </c>
      <c r="BF12" s="8">
        <f t="shared" si="60"/>
        <v>415</v>
      </c>
      <c r="BG12" s="8">
        <f t="shared" si="61"/>
        <v>3</v>
      </c>
      <c r="BH12" s="8">
        <f t="shared" si="62"/>
        <v>5</v>
      </c>
      <c r="BI12" s="8">
        <f t="shared" si="63"/>
        <v>261</v>
      </c>
      <c r="BJ12" s="8">
        <f t="shared" si="64"/>
        <v>513</v>
      </c>
      <c r="BK12" s="8">
        <f t="shared" si="65"/>
        <v>159</v>
      </c>
      <c r="BL12" s="8">
        <f t="shared" si="66"/>
        <v>135</v>
      </c>
      <c r="BM12" s="8">
        <f t="shared" si="67"/>
        <v>183</v>
      </c>
      <c r="BN12" s="8">
        <f t="shared" si="68"/>
        <v>216</v>
      </c>
      <c r="BO12" s="8" t="str">
        <f t="shared" si="69"/>
        <v/>
      </c>
      <c r="BP12" s="8" t="str">
        <f t="shared" si="70"/>
        <v/>
      </c>
      <c r="BQ12" s="8" t="str">
        <f t="shared" si="71"/>
        <v/>
      </c>
      <c r="BR12" s="8" t="str">
        <f t="shared" si="72"/>
        <v/>
      </c>
      <c r="BS12" s="8" t="str">
        <f t="shared" si="73"/>
        <v/>
      </c>
      <c r="BT12" s="8" t="str">
        <f t="shared" si="74"/>
        <v/>
      </c>
      <c r="BU12" s="8" t="str">
        <f t="shared" si="75"/>
        <v/>
      </c>
      <c r="BV12" s="8" t="str">
        <f t="shared" si="76"/>
        <v/>
      </c>
      <c r="BW12" s="8" t="str">
        <f t="shared" si="77"/>
        <v/>
      </c>
      <c r="BX12" s="8" t="str">
        <f t="shared" si="78"/>
        <v/>
      </c>
      <c r="BY12" s="8" t="str">
        <f t="shared" si="79"/>
        <v/>
      </c>
      <c r="BZ12" s="8">
        <f>BC12</f>
        <v>-38</v>
      </c>
      <c r="CA12" s="8">
        <f t="shared" si="86"/>
        <v>90</v>
      </c>
      <c r="CB12" s="8">
        <f t="shared" si="86"/>
        <v>3</v>
      </c>
      <c r="CC12" s="8">
        <f t="shared" si="86"/>
        <v>415</v>
      </c>
      <c r="CD12" s="8">
        <f t="shared" si="86"/>
        <v>3</v>
      </c>
      <c r="CE12" s="8">
        <f t="shared" si="86"/>
        <v>5</v>
      </c>
      <c r="CF12" s="8">
        <f t="shared" si="86"/>
        <v>261</v>
      </c>
      <c r="CG12" s="8">
        <f t="shared" si="86"/>
        <v>513</v>
      </c>
      <c r="CH12" s="8">
        <f t="shared" si="86"/>
        <v>159</v>
      </c>
      <c r="CI12" s="8">
        <f t="shared" ref="CI12:CK12" si="90">BL12</f>
        <v>135</v>
      </c>
      <c r="CJ12" s="8">
        <f t="shared" si="90"/>
        <v>183</v>
      </c>
      <c r="CK12" s="8">
        <f t="shared" si="90"/>
        <v>216</v>
      </c>
      <c r="CO12" s="8" t="str">
        <f t="shared" si="81"/>
        <v>Murray</v>
      </c>
      <c r="CP12" s="4">
        <f t="shared" si="87"/>
        <v>-45.772117244636441</v>
      </c>
      <c r="CQ12" s="4">
        <f t="shared" si="82"/>
        <v>82.227882755363567</v>
      </c>
      <c r="CR12" s="4">
        <f t="shared" si="82"/>
        <v>-4.7721172446364388</v>
      </c>
      <c r="CS12" s="4">
        <f t="shared" si="82"/>
        <v>407.22788275536357</v>
      </c>
      <c r="CT12" s="4">
        <f t="shared" si="82"/>
        <v>-4.7721172446364388</v>
      </c>
      <c r="CU12" s="4">
        <f t="shared" si="82"/>
        <v>-2.7721172446364388</v>
      </c>
      <c r="CV12" s="4">
        <f t="shared" si="82"/>
        <v>253.22788275536357</v>
      </c>
      <c r="CW12" s="4">
        <f t="shared" si="82"/>
        <v>505.22788275536357</v>
      </c>
      <c r="CX12" s="4">
        <f t="shared" si="82"/>
        <v>151.22788275536357</v>
      </c>
      <c r="CY12" s="4">
        <f t="shared" si="82"/>
        <v>127.22788275536357</v>
      </c>
      <c r="CZ12" s="4">
        <f t="shared" si="82"/>
        <v>175.22788275536357</v>
      </c>
      <c r="DA12" s="4">
        <f t="shared" si="89"/>
        <v>208.22788275536357</v>
      </c>
      <c r="DB12" s="4">
        <f t="shared" si="89"/>
        <v>-7.7721172446364388</v>
      </c>
      <c r="DC12" s="4">
        <f t="shared" si="89"/>
        <v>-7.7721172446364388</v>
      </c>
      <c r="DD12" s="4"/>
      <c r="DE12" s="8">
        <f>VLOOKUP(B12,[1]Ranking!$C$3:$BM$19, 34, FALSE)</f>
        <v>46</v>
      </c>
      <c r="DF12" s="4">
        <f>VLOOKUP(B12,[1]Ranking!$C$3:$BM$19, 63, FALSE)</f>
        <v>-357.51739325327617</v>
      </c>
      <c r="DG12" s="4">
        <f t="shared" si="83"/>
        <v>-7.7721172446364388</v>
      </c>
    </row>
    <row r="13" spans="1:111" x14ac:dyDescent="0.3">
      <c r="A13" s="8">
        <v>11</v>
      </c>
      <c r="B13" s="8" t="str">
        <f>VLOOKUP(A13,[1]Ranking!$Z$3:$AA$19, 2, FALSE)</f>
        <v>Edberg</v>
      </c>
      <c r="C13" s="8" t="s">
        <v>48</v>
      </c>
      <c r="D13" s="3">
        <f t="shared" ca="1" si="53"/>
        <v>0.9532829499776494</v>
      </c>
      <c r="E13" s="8">
        <f t="shared" ca="1" si="54"/>
        <v>1</v>
      </c>
      <c r="F13" s="8" t="str">
        <f t="shared" si="84"/>
        <v>Edberg</v>
      </c>
      <c r="G13" s="8">
        <f>VLOOKUP($C13,[1]Data!$C$3:$Z$86,G$1, FALSE)</f>
        <v>-97</v>
      </c>
      <c r="H13" s="8">
        <f>VLOOKUP($C13,[1]Data!$C$3:$Z$86,H$1, FALSE)</f>
        <v>0</v>
      </c>
      <c r="I13" s="8">
        <f>VLOOKUP($C13,[1]Data!$C$3:$Z$86,I$1, FALSE)</f>
        <v>189</v>
      </c>
      <c r="J13" s="8">
        <f>VLOOKUP($C13,[1]Data!$C$3:$Z$86,J$1, FALSE)</f>
        <v>226</v>
      </c>
      <c r="K13" s="8">
        <f>VLOOKUP($C13,[1]Data!$C$3:$Z$86,K$1, FALSE)</f>
        <v>280</v>
      </c>
      <c r="L13" s="8">
        <f>VLOOKUP($C13,[1]Data!$C$3:$Z$86,L$1, FALSE)</f>
        <v>36</v>
      </c>
      <c r="M13" s="8">
        <f>VLOOKUP($C13,[1]Data!$C$3:$Z$86,M$1, FALSE)</f>
        <v>42</v>
      </c>
      <c r="N13" s="8">
        <f>VLOOKUP($C13,[1]Data!$C$3:$Z$86,N$1, FALSE)</f>
        <v>-52</v>
      </c>
      <c r="O13" s="8">
        <f>VLOOKUP($C13,[1]Data!$C$3:$Z$86,O$1, FALSE)</f>
        <v>373</v>
      </c>
      <c r="P13" s="8">
        <f>VLOOKUP($C13,[1]Data!$C$3:$Z$86,P$1, FALSE)</f>
        <v>546</v>
      </c>
      <c r="Q13" s="8">
        <f>VLOOKUP($C13,[1]Data!$C$3:$Z$86,Q$1, FALSE)</f>
        <v>-17</v>
      </c>
      <c r="R13" s="8">
        <f>VLOOKUP($C13,[1]Data!$C$3:$Z$86,R$1, FALSE)</f>
        <v>-53</v>
      </c>
      <c r="S13" s="8">
        <f>VLOOKUP($C13,[1]Data!$C$3:$Z$86,S$1, FALSE)</f>
        <v>38</v>
      </c>
      <c r="T13" s="8">
        <f>VLOOKUP($C13,[1]Data!$C$3:$Z$86,T$1, FALSE)</f>
        <v>256</v>
      </c>
      <c r="U13" s="8">
        <f>VLOOKUP($C13,[1]Data!$C$3:$Z$86,U$1, FALSE)</f>
        <v>0</v>
      </c>
      <c r="V13" s="8">
        <f>VLOOKUP($C13,[1]Data!$C$3:$Z$86,V$1, FALSE)</f>
        <v>0</v>
      </c>
      <c r="W13" s="8">
        <f>VLOOKUP($C13,[1]Data!$C$3:$Z$86,W$1, FALSE)</f>
        <v>0</v>
      </c>
      <c r="X13" s="8">
        <f>VLOOKUP($C13,[1]Data!$C$3:$Z$86,X$1, FALSE)</f>
        <v>0</v>
      </c>
      <c r="Y13" s="8">
        <f>VLOOKUP($C13,[1]Data!$C$3:$Z$86,Y$1, FALSE)</f>
        <v>0</v>
      </c>
      <c r="Z13" s="8">
        <f>VLOOKUP($C13,[1]Data!$C$3:$Z$86,Z$1, FALSE)</f>
        <v>0</v>
      </c>
      <c r="AA13" s="8">
        <f>VLOOKUP($C13,[1]Data!$C$3:$Z$86,AA$1, FALSE)</f>
        <v>0</v>
      </c>
      <c r="AB13" s="8">
        <f>VLOOKUP($C13,[1]Data!$C$3:$Z$86,AB$1, FALSE)</f>
        <v>0</v>
      </c>
      <c r="AC13" s="8">
        <f>VLOOKUP($C13,[1]Data!$C$3:$Z$86,AC$1, FALSE)</f>
        <v>0</v>
      </c>
      <c r="AE13" s="8">
        <f t="shared" si="55"/>
        <v>23</v>
      </c>
      <c r="AF13" s="8">
        <f t="shared" si="55"/>
        <v>10</v>
      </c>
      <c r="AG13" s="8">
        <f t="shared" si="55"/>
        <v>6</v>
      </c>
      <c r="AH13" s="8">
        <f t="shared" si="55"/>
        <v>5</v>
      </c>
      <c r="AI13" s="8">
        <f t="shared" si="55"/>
        <v>3</v>
      </c>
      <c r="AJ13" s="8">
        <f t="shared" si="55"/>
        <v>9</v>
      </c>
      <c r="AK13" s="8">
        <f t="shared" si="55"/>
        <v>7</v>
      </c>
      <c r="AL13" s="8">
        <f t="shared" si="55"/>
        <v>21</v>
      </c>
      <c r="AM13" s="8">
        <f t="shared" si="55"/>
        <v>2</v>
      </c>
      <c r="AN13" s="8">
        <f t="shared" si="55"/>
        <v>1</v>
      </c>
      <c r="AO13" s="8">
        <f t="shared" si="55"/>
        <v>20</v>
      </c>
      <c r="AP13" s="8">
        <f t="shared" si="55"/>
        <v>22</v>
      </c>
      <c r="AQ13" s="8">
        <f t="shared" si="55"/>
        <v>8</v>
      </c>
      <c r="AR13" s="8">
        <f t="shared" si="55"/>
        <v>4</v>
      </c>
      <c r="AS13" s="8">
        <f t="shared" si="55"/>
        <v>10</v>
      </c>
      <c r="AT13" s="8">
        <f t="shared" si="55"/>
        <v>10</v>
      </c>
      <c r="AU13" s="8">
        <f t="shared" si="56"/>
        <v>10</v>
      </c>
      <c r="AV13" s="8">
        <f t="shared" si="56"/>
        <v>10</v>
      </c>
      <c r="AW13" s="8">
        <f t="shared" si="56"/>
        <v>10</v>
      </c>
      <c r="AX13" s="8">
        <f t="shared" si="56"/>
        <v>10</v>
      </c>
      <c r="AY13" s="8">
        <f t="shared" si="56"/>
        <v>10</v>
      </c>
      <c r="AZ13" s="8">
        <f t="shared" si="56"/>
        <v>10</v>
      </c>
      <c r="BA13" s="8">
        <f t="shared" si="56"/>
        <v>10</v>
      </c>
      <c r="BC13" s="8">
        <f>G13</f>
        <v>-97</v>
      </c>
      <c r="BD13" s="8" t="str">
        <f t="shared" si="58"/>
        <v/>
      </c>
      <c r="BE13" s="8">
        <f t="shared" si="59"/>
        <v>189</v>
      </c>
      <c r="BF13" s="8">
        <f t="shared" si="60"/>
        <v>226</v>
      </c>
      <c r="BG13" s="8">
        <f t="shared" si="61"/>
        <v>280</v>
      </c>
      <c r="BH13" s="8">
        <f t="shared" si="62"/>
        <v>36</v>
      </c>
      <c r="BI13" s="8">
        <f t="shared" si="63"/>
        <v>42</v>
      </c>
      <c r="BJ13" s="8">
        <f>N13</f>
        <v>-52</v>
      </c>
      <c r="BK13" s="8">
        <f t="shared" si="65"/>
        <v>373</v>
      </c>
      <c r="BL13" s="8">
        <f t="shared" si="66"/>
        <v>546</v>
      </c>
      <c r="BM13" s="8">
        <f>Q13</f>
        <v>-17</v>
      </c>
      <c r="BN13" s="8">
        <f>R13</f>
        <v>-53</v>
      </c>
      <c r="BO13" s="8">
        <f t="shared" si="69"/>
        <v>38</v>
      </c>
      <c r="BP13" s="8">
        <f t="shared" si="70"/>
        <v>256</v>
      </c>
      <c r="BQ13" s="8" t="str">
        <f t="shared" si="71"/>
        <v/>
      </c>
      <c r="BR13" s="8" t="str">
        <f t="shared" si="72"/>
        <v/>
      </c>
      <c r="BS13" s="8" t="str">
        <f t="shared" si="73"/>
        <v/>
      </c>
      <c r="BT13" s="8" t="str">
        <f t="shared" si="74"/>
        <v/>
      </c>
      <c r="BU13" s="8" t="str">
        <f t="shared" si="75"/>
        <v/>
      </c>
      <c r="BV13" s="8" t="str">
        <f t="shared" si="76"/>
        <v/>
      </c>
      <c r="BW13" s="8" t="str">
        <f t="shared" si="77"/>
        <v/>
      </c>
      <c r="BX13" s="8" t="str">
        <f t="shared" si="78"/>
        <v/>
      </c>
      <c r="BY13" s="8" t="str">
        <f t="shared" si="79"/>
        <v/>
      </c>
      <c r="BZ13" s="8">
        <f>BC13</f>
        <v>-97</v>
      </c>
      <c r="CA13" s="8">
        <f>BE13</f>
        <v>189</v>
      </c>
      <c r="CB13" s="8">
        <f t="shared" ref="CB13:CL14" si="91">BF13</f>
        <v>226</v>
      </c>
      <c r="CC13" s="8">
        <f t="shared" si="91"/>
        <v>280</v>
      </c>
      <c r="CD13" s="8">
        <f t="shared" si="91"/>
        <v>36</v>
      </c>
      <c r="CE13" s="8">
        <f t="shared" si="91"/>
        <v>42</v>
      </c>
      <c r="CF13" s="8">
        <f t="shared" si="91"/>
        <v>-52</v>
      </c>
      <c r="CG13" s="8">
        <f t="shared" si="91"/>
        <v>373</v>
      </c>
      <c r="CH13" s="8">
        <f t="shared" si="91"/>
        <v>546</v>
      </c>
      <c r="CI13" s="8">
        <f t="shared" si="91"/>
        <v>-17</v>
      </c>
      <c r="CJ13" s="8">
        <f t="shared" si="91"/>
        <v>-53</v>
      </c>
      <c r="CK13" s="8">
        <f t="shared" si="91"/>
        <v>38</v>
      </c>
      <c r="CL13" s="8">
        <f t="shared" si="91"/>
        <v>256</v>
      </c>
      <c r="CO13" s="8" t="str">
        <f t="shared" si="81"/>
        <v>Edberg</v>
      </c>
      <c r="CP13" s="4">
        <f t="shared" si="87"/>
        <v>-85.83778207798612</v>
      </c>
      <c r="CQ13" s="4">
        <f>CA13+$DG13</f>
        <v>200.16221792201389</v>
      </c>
      <c r="CR13" s="4">
        <f>CA13+$DG13</f>
        <v>200.16221792201389</v>
      </c>
      <c r="CS13" s="4">
        <f t="shared" si="82"/>
        <v>291.16221792201389</v>
      </c>
      <c r="CT13" s="4">
        <f t="shared" si="82"/>
        <v>47.16221792201388</v>
      </c>
      <c r="CU13" s="4">
        <f t="shared" si="82"/>
        <v>53.16221792201388</v>
      </c>
      <c r="CV13" s="4">
        <f t="shared" si="82"/>
        <v>-40.83778207798612</v>
      </c>
      <c r="CW13" s="4">
        <f t="shared" si="82"/>
        <v>384.16221792201389</v>
      </c>
      <c r="CX13" s="4">
        <f t="shared" si="82"/>
        <v>557.16221792201384</v>
      </c>
      <c r="CY13" s="4">
        <f t="shared" si="82"/>
        <v>-5.837782077986116</v>
      </c>
      <c r="CZ13" s="4">
        <f t="shared" si="82"/>
        <v>-41.83778207798612</v>
      </c>
      <c r="DA13" s="4">
        <f t="shared" si="89"/>
        <v>49.16221792201388</v>
      </c>
      <c r="DB13" s="4">
        <f t="shared" si="89"/>
        <v>267.16221792201389</v>
      </c>
      <c r="DC13" s="4">
        <f t="shared" si="89"/>
        <v>11.162217922013884</v>
      </c>
      <c r="DD13" s="4"/>
      <c r="DE13" s="8">
        <f>VLOOKUP(B13,[1]Ranking!$C$3:$BM$19, 34, FALSE)</f>
        <v>54</v>
      </c>
      <c r="DF13" s="4">
        <f>VLOOKUP(B13,[1]Ranking!$C$3:$BM$19, 63, FALSE)</f>
        <v>602.75976778874974</v>
      </c>
      <c r="DG13" s="4">
        <f t="shared" si="83"/>
        <v>11.162217922013884</v>
      </c>
    </row>
    <row r="14" spans="1:111" x14ac:dyDescent="0.3">
      <c r="A14" s="8">
        <v>12</v>
      </c>
      <c r="B14" s="8" t="str">
        <f>VLOOKUP(A14,[1]Ranking!$Z$3:$AA$19, 2, FALSE)</f>
        <v>Wilander</v>
      </c>
      <c r="C14" s="8" t="s">
        <v>49</v>
      </c>
      <c r="D14" s="3">
        <f t="shared" ca="1" si="53"/>
        <v>0.1042751849621224</v>
      </c>
      <c r="E14" s="8">
        <f t="shared" ca="1" si="54"/>
        <v>11</v>
      </c>
      <c r="F14" s="8" t="str">
        <f t="shared" si="84"/>
        <v>Wilander</v>
      </c>
      <c r="G14" s="8">
        <f>VLOOKUP($C14,[1]Data!$C$3:$Z$86,G$1, FALSE)</f>
        <v>0</v>
      </c>
      <c r="H14" s="8">
        <f>VLOOKUP($C14,[1]Data!$C$3:$Z$86,H$1, FALSE)</f>
        <v>115</v>
      </c>
      <c r="I14" s="8">
        <f>VLOOKUP($C14,[1]Data!$C$3:$Z$86,I$1, FALSE)</f>
        <v>179</v>
      </c>
      <c r="J14" s="8">
        <f>VLOOKUP($C14,[1]Data!$C$3:$Z$86,J$1, FALSE)</f>
        <v>154</v>
      </c>
      <c r="K14" s="8">
        <f>VLOOKUP($C14,[1]Data!$C$3:$Z$86,K$1, FALSE)</f>
        <v>304</v>
      </c>
      <c r="L14" s="8">
        <f>VLOOKUP($C14,[1]Data!$C$3:$Z$86,L$1, FALSE)</f>
        <v>73</v>
      </c>
      <c r="M14" s="8">
        <f>VLOOKUP($C14,[1]Data!$C$3:$Z$86,M$1, FALSE)</f>
        <v>226</v>
      </c>
      <c r="N14" s="8">
        <f>VLOOKUP($C14,[1]Data!$C$3:$Z$86,N$1, FALSE)</f>
        <v>504</v>
      </c>
      <c r="O14" s="8">
        <f>VLOOKUP($C14,[1]Data!$C$3:$Z$86,O$1, FALSE)</f>
        <v>-20</v>
      </c>
      <c r="P14" s="8">
        <f>VLOOKUP($C14,[1]Data!$C$3:$Z$86,P$1, FALSE)</f>
        <v>-8</v>
      </c>
      <c r="Q14" s="8">
        <f>VLOOKUP($C14,[1]Data!$C$3:$Z$86,Q$1, FALSE)</f>
        <v>0</v>
      </c>
      <c r="R14" s="8">
        <f>VLOOKUP($C14,[1]Data!$C$3:$Z$86,R$1, FALSE)</f>
        <v>0</v>
      </c>
      <c r="S14" s="8">
        <f>VLOOKUP($C14,[1]Data!$C$3:$Z$86,S$1, FALSE)</f>
        <v>78</v>
      </c>
      <c r="T14" s="8">
        <f>VLOOKUP($C14,[1]Data!$C$3:$Z$86,T$1, FALSE)</f>
        <v>-99</v>
      </c>
      <c r="U14" s="8">
        <f>VLOOKUP($C14,[1]Data!$C$3:$Z$86,U$1, FALSE)</f>
        <v>-14</v>
      </c>
      <c r="V14" s="8">
        <f>VLOOKUP($C14,[1]Data!$C$3:$Z$86,V$1, FALSE)</f>
        <v>0</v>
      </c>
      <c r="W14" s="8">
        <f>VLOOKUP($C14,[1]Data!$C$3:$Z$86,W$1, FALSE)</f>
        <v>0</v>
      </c>
      <c r="X14" s="8">
        <f>VLOOKUP($C14,[1]Data!$C$3:$Z$86,X$1, FALSE)</f>
        <v>0</v>
      </c>
      <c r="Y14" s="8">
        <f>VLOOKUP($C14,[1]Data!$C$3:$Z$86,Y$1, FALSE)</f>
        <v>0</v>
      </c>
      <c r="Z14" s="8">
        <f>VLOOKUP($C14,[1]Data!$C$3:$Z$86,Z$1, FALSE)</f>
        <v>0</v>
      </c>
      <c r="AA14" s="8">
        <f>VLOOKUP($C14,[1]Data!$C$3:$Z$86,AA$1, FALSE)</f>
        <v>0</v>
      </c>
      <c r="AB14" s="8">
        <f>VLOOKUP($C14,[1]Data!$C$3:$Z$86,AB$1, FALSE)</f>
        <v>0</v>
      </c>
      <c r="AC14" s="8">
        <f>VLOOKUP($C14,[1]Data!$C$3:$Z$86,AC$1, FALSE)</f>
        <v>0</v>
      </c>
      <c r="AE14" s="8">
        <f t="shared" si="55"/>
        <v>9</v>
      </c>
      <c r="AF14" s="8">
        <f t="shared" si="55"/>
        <v>6</v>
      </c>
      <c r="AG14" s="8">
        <f t="shared" si="55"/>
        <v>4</v>
      </c>
      <c r="AH14" s="8">
        <f t="shared" si="55"/>
        <v>5</v>
      </c>
      <c r="AI14" s="8">
        <f t="shared" si="55"/>
        <v>2</v>
      </c>
      <c r="AJ14" s="8">
        <f t="shared" si="55"/>
        <v>8</v>
      </c>
      <c r="AK14" s="8">
        <f t="shared" si="55"/>
        <v>3</v>
      </c>
      <c r="AL14" s="8">
        <f t="shared" si="55"/>
        <v>1</v>
      </c>
      <c r="AM14" s="8">
        <f t="shared" si="55"/>
        <v>22</v>
      </c>
      <c r="AN14" s="8">
        <f t="shared" si="55"/>
        <v>20</v>
      </c>
      <c r="AO14" s="8">
        <f t="shared" si="55"/>
        <v>9</v>
      </c>
      <c r="AP14" s="8">
        <f t="shared" si="55"/>
        <v>9</v>
      </c>
      <c r="AQ14" s="8">
        <f t="shared" si="55"/>
        <v>7</v>
      </c>
      <c r="AR14" s="8">
        <f t="shared" si="55"/>
        <v>23</v>
      </c>
      <c r="AS14" s="8">
        <f t="shared" si="55"/>
        <v>21</v>
      </c>
      <c r="AT14" s="8">
        <f t="shared" si="55"/>
        <v>9</v>
      </c>
      <c r="AU14" s="8">
        <f t="shared" si="56"/>
        <v>9</v>
      </c>
      <c r="AV14" s="8">
        <f t="shared" si="56"/>
        <v>9</v>
      </c>
      <c r="AW14" s="8">
        <f t="shared" si="56"/>
        <v>9</v>
      </c>
      <c r="AX14" s="8">
        <f t="shared" si="56"/>
        <v>9</v>
      </c>
      <c r="AY14" s="8">
        <f t="shared" si="56"/>
        <v>9</v>
      </c>
      <c r="AZ14" s="8">
        <f t="shared" si="56"/>
        <v>9</v>
      </c>
      <c r="BA14" s="8">
        <f t="shared" si="56"/>
        <v>9</v>
      </c>
      <c r="BC14" s="8" t="str">
        <f t="shared" si="57"/>
        <v/>
      </c>
      <c r="BD14" s="8">
        <f t="shared" si="58"/>
        <v>115</v>
      </c>
      <c r="BE14" s="8">
        <f t="shared" si="59"/>
        <v>179</v>
      </c>
      <c r="BF14" s="8">
        <f t="shared" si="60"/>
        <v>154</v>
      </c>
      <c r="BG14" s="8">
        <f t="shared" si="61"/>
        <v>304</v>
      </c>
      <c r="BH14" s="8">
        <f t="shared" si="62"/>
        <v>73</v>
      </c>
      <c r="BI14" s="8">
        <f t="shared" si="63"/>
        <v>226</v>
      </c>
      <c r="BJ14" s="8">
        <f t="shared" si="64"/>
        <v>504</v>
      </c>
      <c r="BK14" s="8">
        <f>O14</f>
        <v>-20</v>
      </c>
      <c r="BL14" s="8">
        <f>P14</f>
        <v>-8</v>
      </c>
      <c r="BM14" s="8" t="str">
        <f t="shared" si="67"/>
        <v/>
      </c>
      <c r="BN14" s="8" t="str">
        <f t="shared" si="68"/>
        <v/>
      </c>
      <c r="BO14" s="8">
        <f t="shared" si="69"/>
        <v>78</v>
      </c>
      <c r="BP14" s="8">
        <f>T14</f>
        <v>-99</v>
      </c>
      <c r="BQ14" s="8">
        <f>U14</f>
        <v>-14</v>
      </c>
      <c r="BR14" s="8" t="str">
        <f t="shared" si="72"/>
        <v/>
      </c>
      <c r="BS14" s="8" t="str">
        <f t="shared" si="73"/>
        <v/>
      </c>
      <c r="BT14" s="8" t="str">
        <f t="shared" si="74"/>
        <v/>
      </c>
      <c r="BU14" s="8" t="str">
        <f t="shared" si="75"/>
        <v/>
      </c>
      <c r="BV14" s="8" t="str">
        <f t="shared" si="76"/>
        <v/>
      </c>
      <c r="BW14" s="8" t="str">
        <f t="shared" si="77"/>
        <v/>
      </c>
      <c r="BX14" s="8" t="str">
        <f t="shared" si="78"/>
        <v/>
      </c>
      <c r="BY14" s="8" t="str">
        <f t="shared" si="79"/>
        <v/>
      </c>
      <c r="BZ14" s="8">
        <f>BD14</f>
        <v>115</v>
      </c>
      <c r="CA14" s="8">
        <f t="shared" ref="CA14" si="92">BE14</f>
        <v>179</v>
      </c>
      <c r="CB14" s="8">
        <f t="shared" si="91"/>
        <v>154</v>
      </c>
      <c r="CC14" s="8">
        <f t="shared" si="91"/>
        <v>304</v>
      </c>
      <c r="CD14" s="8">
        <f t="shared" si="91"/>
        <v>73</v>
      </c>
      <c r="CE14" s="8">
        <f t="shared" si="91"/>
        <v>226</v>
      </c>
      <c r="CF14" s="8">
        <f t="shared" si="91"/>
        <v>504</v>
      </c>
      <c r="CG14" s="8">
        <f t="shared" si="91"/>
        <v>-20</v>
      </c>
      <c r="CH14" s="8">
        <f t="shared" si="91"/>
        <v>-8</v>
      </c>
      <c r="CI14" s="8">
        <f>BO14</f>
        <v>78</v>
      </c>
      <c r="CJ14" s="8">
        <f>BP14</f>
        <v>-99</v>
      </c>
      <c r="CK14" s="8">
        <f>BQ14</f>
        <v>-14</v>
      </c>
      <c r="CO14" s="8" t="str">
        <f t="shared" si="81"/>
        <v>Wilander</v>
      </c>
      <c r="CP14" s="4">
        <f t="shared" si="87"/>
        <v>126.16221792201389</v>
      </c>
      <c r="CQ14" s="4">
        <f t="shared" si="82"/>
        <v>190.16221792201389</v>
      </c>
      <c r="CR14" s="4">
        <f t="shared" si="82"/>
        <v>165.16221792201389</v>
      </c>
      <c r="CS14" s="4">
        <f t="shared" si="82"/>
        <v>315.16221792201389</v>
      </c>
      <c r="CT14" s="4">
        <f t="shared" si="82"/>
        <v>84.162217922013895</v>
      </c>
      <c r="CU14" s="4">
        <f t="shared" si="82"/>
        <v>237.16221792201389</v>
      </c>
      <c r="CV14" s="4">
        <f t="shared" si="82"/>
        <v>515.16221792201384</v>
      </c>
      <c r="CW14" s="4">
        <f t="shared" si="82"/>
        <v>-8.8377820779861107</v>
      </c>
      <c r="CX14" s="4">
        <f t="shared" si="82"/>
        <v>3.1622179220138893</v>
      </c>
      <c r="CY14" s="4">
        <f t="shared" si="82"/>
        <v>89.162217922013895</v>
      </c>
      <c r="CZ14" s="4">
        <f t="shared" si="82"/>
        <v>-87.837782077986105</v>
      </c>
      <c r="DA14" s="4">
        <f t="shared" si="82"/>
        <v>-2.8377820779861107</v>
      </c>
      <c r="DB14" s="4">
        <f t="shared" si="82"/>
        <v>11.162217922013889</v>
      </c>
      <c r="DC14" s="4"/>
      <c r="DD14" s="4"/>
      <c r="DE14" s="8">
        <f>VLOOKUP(B14,[1]Ranking!$C$3:$BM$19, 34, FALSE)</f>
        <v>44</v>
      </c>
      <c r="DF14" s="4">
        <f>VLOOKUP(B14,[1]Ranking!$C$3:$BM$19, 63, FALSE)</f>
        <v>491.13758856861114</v>
      </c>
      <c r="DG14" s="4">
        <f t="shared" si="83"/>
        <v>11.162217922013889</v>
      </c>
    </row>
    <row r="15" spans="1:111" x14ac:dyDescent="0.3">
      <c r="A15" s="8">
        <v>13</v>
      </c>
      <c r="B15" s="8" t="str">
        <f>VLOOKUP(A15,[1]Ranking!$Z$3:$AA$19, 2, FALSE)</f>
        <v>Wawrinka</v>
      </c>
      <c r="C15" s="8" t="s">
        <v>50</v>
      </c>
      <c r="D15" s="3">
        <f t="shared" ca="1" si="53"/>
        <v>5.4260742460233713E-3</v>
      </c>
      <c r="E15" s="8">
        <f t="shared" ca="1" si="54"/>
        <v>12</v>
      </c>
      <c r="F15" s="8" t="str">
        <f t="shared" si="84"/>
        <v>Wawrinka</v>
      </c>
      <c r="G15" s="8">
        <f>VLOOKUP($C15,[1]Data!$C$3:$Z$86,G$1, FALSE)</f>
        <v>33</v>
      </c>
      <c r="H15" s="8">
        <f>VLOOKUP($C15,[1]Data!$C$3:$Z$86,H$1, FALSE)</f>
        <v>129</v>
      </c>
      <c r="I15" s="8">
        <f>VLOOKUP($C15,[1]Data!$C$3:$Z$86,I$1, FALSE)</f>
        <v>110</v>
      </c>
      <c r="J15" s="8">
        <f>VLOOKUP($C15,[1]Data!$C$3:$Z$86,J$1, FALSE)</f>
        <v>49</v>
      </c>
      <c r="K15" s="8">
        <f>VLOOKUP($C15,[1]Data!$C$3:$Z$86,K$1, FALSE)</f>
        <v>-99</v>
      </c>
      <c r="L15" s="8">
        <f>VLOOKUP($C15,[1]Data!$C$3:$Z$86,L$1, FALSE)</f>
        <v>238</v>
      </c>
      <c r="M15" s="8">
        <f>VLOOKUP($C15,[1]Data!$C$3:$Z$86,M$1, FALSE)</f>
        <v>-98</v>
      </c>
      <c r="N15" s="8">
        <f>VLOOKUP($C15,[1]Data!$C$3:$Z$86,N$1, FALSE)</f>
        <v>112</v>
      </c>
      <c r="O15" s="8">
        <f>VLOOKUP($C15,[1]Data!$C$3:$Z$86,O$1, FALSE)</f>
        <v>301</v>
      </c>
      <c r="P15" s="8">
        <f>VLOOKUP($C15,[1]Data!$C$3:$Z$86,P$1, FALSE)</f>
        <v>126</v>
      </c>
      <c r="Q15" s="8">
        <f>VLOOKUP($C15,[1]Data!$C$3:$Z$86,Q$1, FALSE)</f>
        <v>209</v>
      </c>
      <c r="R15" s="8">
        <f>VLOOKUP($C15,[1]Data!$C$3:$Z$86,R$1, FALSE)</f>
        <v>372</v>
      </c>
      <c r="S15" s="8">
        <f>VLOOKUP($C15,[1]Data!$C$3:$Z$86,S$1, FALSE)</f>
        <v>0</v>
      </c>
      <c r="T15" s="8">
        <f>VLOOKUP($C15,[1]Data!$C$3:$Z$86,T$1, FALSE)</f>
        <v>0</v>
      </c>
      <c r="U15" s="8">
        <f>VLOOKUP($C15,[1]Data!$C$3:$Z$86,U$1, FALSE)</f>
        <v>0</v>
      </c>
      <c r="V15" s="8">
        <f>VLOOKUP($C15,[1]Data!$C$3:$Z$86,V$1, FALSE)</f>
        <v>0</v>
      </c>
      <c r="W15" s="8">
        <f>VLOOKUP($C15,[1]Data!$C$3:$Z$86,W$1, FALSE)</f>
        <v>0</v>
      </c>
      <c r="X15" s="8">
        <f>VLOOKUP($C15,[1]Data!$C$3:$Z$86,X$1, FALSE)</f>
        <v>0</v>
      </c>
      <c r="Y15" s="8">
        <f>VLOOKUP($C15,[1]Data!$C$3:$Z$86,Y$1, FALSE)</f>
        <v>0</v>
      </c>
      <c r="Z15" s="8">
        <f>VLOOKUP($C15,[1]Data!$C$3:$Z$86,Z$1, FALSE)</f>
        <v>0</v>
      </c>
      <c r="AA15" s="8">
        <f>VLOOKUP($C15,[1]Data!$C$3:$Z$86,AA$1, FALSE)</f>
        <v>0</v>
      </c>
      <c r="AB15" s="8">
        <f>VLOOKUP($C15,[1]Data!$C$3:$Z$86,AB$1, FALSE)</f>
        <v>0</v>
      </c>
      <c r="AC15" s="8">
        <f>VLOOKUP($C15,[1]Data!$C$3:$Z$86,AC$1, FALSE)</f>
        <v>0</v>
      </c>
      <c r="AE15" s="8">
        <f t="shared" si="55"/>
        <v>10</v>
      </c>
      <c r="AF15" s="8">
        <f t="shared" si="55"/>
        <v>5</v>
      </c>
      <c r="AG15" s="8">
        <f t="shared" si="55"/>
        <v>8</v>
      </c>
      <c r="AH15" s="8">
        <f t="shared" si="55"/>
        <v>9</v>
      </c>
      <c r="AI15" s="8">
        <f t="shared" si="55"/>
        <v>23</v>
      </c>
      <c r="AJ15" s="8">
        <f t="shared" si="55"/>
        <v>3</v>
      </c>
      <c r="AK15" s="8">
        <f t="shared" si="55"/>
        <v>22</v>
      </c>
      <c r="AL15" s="8">
        <f t="shared" si="55"/>
        <v>7</v>
      </c>
      <c r="AM15" s="8">
        <f t="shared" si="55"/>
        <v>2</v>
      </c>
      <c r="AN15" s="8">
        <f t="shared" si="55"/>
        <v>6</v>
      </c>
      <c r="AO15" s="8">
        <f t="shared" si="55"/>
        <v>4</v>
      </c>
      <c r="AP15" s="8">
        <f t="shared" si="55"/>
        <v>1</v>
      </c>
      <c r="AQ15" s="8">
        <f t="shared" si="55"/>
        <v>11</v>
      </c>
      <c r="AR15" s="8">
        <f t="shared" si="55"/>
        <v>11</v>
      </c>
      <c r="AS15" s="8">
        <f t="shared" si="55"/>
        <v>11</v>
      </c>
      <c r="AT15" s="8">
        <f t="shared" si="55"/>
        <v>11</v>
      </c>
      <c r="AU15" s="8">
        <f t="shared" si="56"/>
        <v>11</v>
      </c>
      <c r="AV15" s="8">
        <f t="shared" si="56"/>
        <v>11</v>
      </c>
      <c r="AW15" s="8">
        <f t="shared" si="56"/>
        <v>11</v>
      </c>
      <c r="AX15" s="8">
        <f t="shared" si="56"/>
        <v>11</v>
      </c>
      <c r="AY15" s="8">
        <f t="shared" si="56"/>
        <v>11</v>
      </c>
      <c r="AZ15" s="8">
        <f t="shared" si="56"/>
        <v>11</v>
      </c>
      <c r="BA15" s="8">
        <f t="shared" si="56"/>
        <v>11</v>
      </c>
      <c r="BC15" s="8">
        <f t="shared" si="57"/>
        <v>33</v>
      </c>
      <c r="BD15" s="8">
        <f t="shared" si="58"/>
        <v>129</v>
      </c>
      <c r="BE15" s="8">
        <f t="shared" si="59"/>
        <v>110</v>
      </c>
      <c r="BF15" s="8">
        <f t="shared" si="60"/>
        <v>49</v>
      </c>
      <c r="BG15" s="8">
        <f>K15</f>
        <v>-99</v>
      </c>
      <c r="BH15" s="8">
        <f t="shared" si="62"/>
        <v>238</v>
      </c>
      <c r="BI15" s="8">
        <f>M15</f>
        <v>-98</v>
      </c>
      <c r="BJ15" s="8">
        <f t="shared" si="64"/>
        <v>112</v>
      </c>
      <c r="BK15" s="8">
        <f t="shared" si="65"/>
        <v>301</v>
      </c>
      <c r="BL15" s="8">
        <f t="shared" si="66"/>
        <v>126</v>
      </c>
      <c r="BM15" s="8">
        <f t="shared" si="67"/>
        <v>209</v>
      </c>
      <c r="BN15" s="8">
        <f t="shared" si="68"/>
        <v>372</v>
      </c>
      <c r="BO15" s="8" t="str">
        <f t="shared" si="69"/>
        <v/>
      </c>
      <c r="BP15" s="8" t="str">
        <f t="shared" si="70"/>
        <v/>
      </c>
      <c r="BQ15" s="8" t="str">
        <f t="shared" si="71"/>
        <v/>
      </c>
      <c r="BR15" s="8" t="str">
        <f t="shared" si="72"/>
        <v/>
      </c>
      <c r="BS15" s="8" t="str">
        <f t="shared" si="73"/>
        <v/>
      </c>
      <c r="BT15" s="8" t="str">
        <f t="shared" si="74"/>
        <v/>
      </c>
      <c r="BU15" s="8" t="str">
        <f t="shared" si="75"/>
        <v/>
      </c>
      <c r="BV15" s="8" t="str">
        <f t="shared" si="76"/>
        <v/>
      </c>
      <c r="BW15" s="8" t="str">
        <f t="shared" si="77"/>
        <v/>
      </c>
      <c r="BX15" s="8" t="str">
        <f t="shared" si="78"/>
        <v/>
      </c>
      <c r="BY15" s="8" t="str">
        <f t="shared" si="79"/>
        <v/>
      </c>
      <c r="BZ15" s="8">
        <f>BC15</f>
        <v>33</v>
      </c>
      <c r="CA15" s="8">
        <f t="shared" ref="CA15:CK15" si="93">BD15</f>
        <v>129</v>
      </c>
      <c r="CB15" s="8">
        <f t="shared" si="93"/>
        <v>110</v>
      </c>
      <c r="CC15" s="8">
        <f t="shared" si="93"/>
        <v>49</v>
      </c>
      <c r="CD15" s="8">
        <f t="shared" si="93"/>
        <v>-99</v>
      </c>
      <c r="CE15" s="8">
        <f t="shared" si="93"/>
        <v>238</v>
      </c>
      <c r="CF15" s="8">
        <f t="shared" si="93"/>
        <v>-98</v>
      </c>
      <c r="CG15" s="8">
        <f t="shared" si="93"/>
        <v>112</v>
      </c>
      <c r="CH15" s="8">
        <f t="shared" si="93"/>
        <v>301</v>
      </c>
      <c r="CI15" s="8">
        <f t="shared" si="93"/>
        <v>126</v>
      </c>
      <c r="CJ15" s="8">
        <f t="shared" si="93"/>
        <v>209</v>
      </c>
      <c r="CK15" s="8">
        <f t="shared" si="93"/>
        <v>372</v>
      </c>
      <c r="CO15" s="8" t="str">
        <f t="shared" si="81"/>
        <v>Wawrinka</v>
      </c>
      <c r="CP15" s="4">
        <f t="shared" si="87"/>
        <v>25.227882755363577</v>
      </c>
      <c r="CQ15" s="4">
        <f t="shared" si="82"/>
        <v>121.22788275536358</v>
      </c>
      <c r="CR15" s="4">
        <f t="shared" si="82"/>
        <v>102.22788275536358</v>
      </c>
      <c r="CS15" s="4">
        <f t="shared" si="82"/>
        <v>41.227882755363581</v>
      </c>
      <c r="CT15" s="4">
        <f t="shared" si="82"/>
        <v>-106.77211724463642</v>
      </c>
      <c r="CU15" s="4">
        <f t="shared" si="82"/>
        <v>230.22788275536357</v>
      </c>
      <c r="CV15" s="4">
        <f t="shared" si="82"/>
        <v>-105.77211724463642</v>
      </c>
      <c r="CW15" s="4">
        <f t="shared" si="82"/>
        <v>104.22788275536358</v>
      </c>
      <c r="CX15" s="4">
        <f t="shared" si="82"/>
        <v>293.22788275536357</v>
      </c>
      <c r="CY15" s="4">
        <f t="shared" si="82"/>
        <v>118.22788275536358</v>
      </c>
      <c r="CZ15" s="4"/>
      <c r="DA15" s="4"/>
      <c r="DB15" s="4"/>
      <c r="DC15" s="4"/>
      <c r="DD15" s="4"/>
      <c r="DE15" s="8">
        <f>VLOOKUP(B15,[1]Ranking!$C$3:$BM$19, 34, FALSE)</f>
        <v>53</v>
      </c>
      <c r="DF15" s="4">
        <f>VLOOKUP(B15,[1]Ranking!$C$3:$BM$19, 63, FALSE)</f>
        <v>-411.92221396573041</v>
      </c>
      <c r="DG15" s="4">
        <f t="shared" si="83"/>
        <v>-7.7721172446364228</v>
      </c>
    </row>
    <row r="16" spans="1:111" x14ac:dyDescent="0.3">
      <c r="A16" s="8">
        <v>14</v>
      </c>
      <c r="B16" s="8" t="str">
        <f>VLOOKUP(A16,[1]Ranking!$Z$3:$AA$19, 2, FALSE)</f>
        <v>Becker</v>
      </c>
      <c r="C16" s="8" t="s">
        <v>51</v>
      </c>
      <c r="D16" s="3">
        <f t="shared" ca="1" si="53"/>
        <v>0.39534684699271427</v>
      </c>
      <c r="E16" s="8">
        <f t="shared" ca="1" si="54"/>
        <v>8</v>
      </c>
      <c r="F16" s="8" t="str">
        <f t="shared" si="84"/>
        <v>Becker</v>
      </c>
      <c r="G16" s="8">
        <f>VLOOKUP($C16,[1]Data!$C$3:$Z$86,G$1, FALSE)</f>
        <v>0</v>
      </c>
      <c r="H16" s="8">
        <f>VLOOKUP($C16,[1]Data!$C$3:$Z$86,H$1, FALSE)</f>
        <v>-5</v>
      </c>
      <c r="I16" s="8">
        <f>VLOOKUP($C16,[1]Data!$C$3:$Z$86,I$1, FALSE)</f>
        <v>116</v>
      </c>
      <c r="J16" s="8">
        <f>VLOOKUP($C16,[1]Data!$C$3:$Z$86,J$1, FALSE)</f>
        <v>38</v>
      </c>
      <c r="K16" s="8">
        <f>VLOOKUP($C16,[1]Data!$C$3:$Z$86,K$1, FALSE)</f>
        <v>-18</v>
      </c>
      <c r="L16" s="8">
        <f>VLOOKUP($C16,[1]Data!$C$3:$Z$86,L$1, FALSE)</f>
        <v>501</v>
      </c>
      <c r="M16" s="8">
        <f>VLOOKUP($C16,[1]Data!$C$3:$Z$86,M$1, FALSE)</f>
        <v>321</v>
      </c>
      <c r="N16" s="8">
        <f>VLOOKUP($C16,[1]Data!$C$3:$Z$86,N$1, FALSE)</f>
        <v>95</v>
      </c>
      <c r="O16" s="8">
        <f>VLOOKUP($C16,[1]Data!$C$3:$Z$86,O$1, FALSE)</f>
        <v>84</v>
      </c>
      <c r="P16" s="8">
        <f>VLOOKUP($C16,[1]Data!$C$3:$Z$86,P$1, FALSE)</f>
        <v>48</v>
      </c>
      <c r="Q16" s="8">
        <f>VLOOKUP($C16,[1]Data!$C$3:$Z$86,Q$1, FALSE)</f>
        <v>-48</v>
      </c>
      <c r="R16" s="8">
        <f>VLOOKUP($C16,[1]Data!$C$3:$Z$86,R$1, FALSE)</f>
        <v>167</v>
      </c>
      <c r="S16" s="8">
        <f>VLOOKUP($C16,[1]Data!$C$3:$Z$86,S$1, FALSE)</f>
        <v>0</v>
      </c>
      <c r="T16" s="8">
        <f>VLOOKUP($C16,[1]Data!$C$3:$Z$86,T$1, FALSE)</f>
        <v>0</v>
      </c>
      <c r="U16" s="8">
        <f>VLOOKUP($C16,[1]Data!$C$3:$Z$86,U$1, FALSE)</f>
        <v>0</v>
      </c>
      <c r="V16" s="8">
        <f>VLOOKUP($C16,[1]Data!$C$3:$Z$86,V$1, FALSE)</f>
        <v>0</v>
      </c>
      <c r="W16" s="8">
        <f>VLOOKUP($C16,[1]Data!$C$3:$Z$86,W$1, FALSE)</f>
        <v>0</v>
      </c>
      <c r="X16" s="8">
        <f>VLOOKUP($C16,[1]Data!$C$3:$Z$86,X$1, FALSE)</f>
        <v>0</v>
      </c>
      <c r="Y16" s="8">
        <f>VLOOKUP($C16,[1]Data!$C$3:$Z$86,Y$1, FALSE)</f>
        <v>0</v>
      </c>
      <c r="Z16" s="8">
        <f>VLOOKUP($C16,[1]Data!$C$3:$Z$86,Z$1, FALSE)</f>
        <v>0</v>
      </c>
      <c r="AA16" s="8">
        <f>VLOOKUP($C16,[1]Data!$C$3:$Z$86,AA$1, FALSE)</f>
        <v>0</v>
      </c>
      <c r="AB16" s="8">
        <f>VLOOKUP($C16,[1]Data!$C$3:$Z$86,AB$1, FALSE)</f>
        <v>0</v>
      </c>
      <c r="AC16" s="8">
        <f>VLOOKUP($C16,[1]Data!$C$3:$Z$86,AC$1, FALSE)</f>
        <v>0</v>
      </c>
      <c r="AE16" s="8">
        <f t="shared" si="55"/>
        <v>9</v>
      </c>
      <c r="AF16" s="8">
        <f t="shared" si="55"/>
        <v>21</v>
      </c>
      <c r="AG16" s="8">
        <f t="shared" si="55"/>
        <v>4</v>
      </c>
      <c r="AH16" s="8">
        <f t="shared" si="55"/>
        <v>8</v>
      </c>
      <c r="AI16" s="8">
        <f t="shared" si="55"/>
        <v>22</v>
      </c>
      <c r="AJ16" s="8">
        <f t="shared" si="55"/>
        <v>1</v>
      </c>
      <c r="AK16" s="8">
        <f t="shared" si="55"/>
        <v>2</v>
      </c>
      <c r="AL16" s="8">
        <f t="shared" si="55"/>
        <v>5</v>
      </c>
      <c r="AM16" s="8">
        <f t="shared" si="55"/>
        <v>6</v>
      </c>
      <c r="AN16" s="8">
        <f t="shared" si="55"/>
        <v>7</v>
      </c>
      <c r="AO16" s="8">
        <f t="shared" si="55"/>
        <v>23</v>
      </c>
      <c r="AP16" s="8">
        <f t="shared" si="55"/>
        <v>3</v>
      </c>
      <c r="AQ16" s="8">
        <f t="shared" si="55"/>
        <v>9</v>
      </c>
      <c r="AR16" s="8">
        <f t="shared" si="55"/>
        <v>9</v>
      </c>
      <c r="AS16" s="8">
        <f t="shared" si="55"/>
        <v>9</v>
      </c>
      <c r="AT16" s="8">
        <f t="shared" si="55"/>
        <v>9</v>
      </c>
      <c r="AU16" s="8">
        <f t="shared" si="56"/>
        <v>9</v>
      </c>
      <c r="AV16" s="8">
        <f t="shared" si="56"/>
        <v>9</v>
      </c>
      <c r="AW16" s="8">
        <f t="shared" si="56"/>
        <v>9</v>
      </c>
      <c r="AX16" s="8">
        <f t="shared" si="56"/>
        <v>9</v>
      </c>
      <c r="AY16" s="8">
        <f t="shared" si="56"/>
        <v>9</v>
      </c>
      <c r="AZ16" s="8">
        <f t="shared" si="56"/>
        <v>9</v>
      </c>
      <c r="BA16" s="8">
        <f t="shared" si="56"/>
        <v>9</v>
      </c>
      <c r="BC16" s="8" t="str">
        <f t="shared" si="57"/>
        <v/>
      </c>
      <c r="BD16" s="8">
        <f>H16</f>
        <v>-5</v>
      </c>
      <c r="BE16" s="8">
        <f t="shared" si="59"/>
        <v>116</v>
      </c>
      <c r="BF16" s="8">
        <f t="shared" si="60"/>
        <v>38</v>
      </c>
      <c r="BG16" s="8">
        <f>K16</f>
        <v>-18</v>
      </c>
      <c r="BH16" s="8">
        <f t="shared" si="62"/>
        <v>501</v>
      </c>
      <c r="BI16" s="8">
        <f t="shared" si="63"/>
        <v>321</v>
      </c>
      <c r="BJ16" s="8">
        <f t="shared" si="64"/>
        <v>95</v>
      </c>
      <c r="BK16" s="8">
        <f t="shared" si="65"/>
        <v>84</v>
      </c>
      <c r="BL16" s="8">
        <f t="shared" si="66"/>
        <v>48</v>
      </c>
      <c r="BM16" s="8">
        <f>Q16</f>
        <v>-48</v>
      </c>
      <c r="BN16" s="8">
        <f t="shared" si="68"/>
        <v>167</v>
      </c>
      <c r="BO16" s="8" t="str">
        <f t="shared" si="69"/>
        <v/>
      </c>
      <c r="BP16" s="8" t="str">
        <f t="shared" si="70"/>
        <v/>
      </c>
      <c r="BQ16" s="8" t="str">
        <f t="shared" si="71"/>
        <v/>
      </c>
      <c r="BR16" s="8" t="str">
        <f t="shared" si="72"/>
        <v/>
      </c>
      <c r="BS16" s="8" t="str">
        <f t="shared" si="73"/>
        <v/>
      </c>
      <c r="BT16" s="8" t="str">
        <f t="shared" si="74"/>
        <v/>
      </c>
      <c r="BU16" s="8" t="str">
        <f t="shared" si="75"/>
        <v/>
      </c>
      <c r="BV16" s="8" t="str">
        <f t="shared" si="76"/>
        <v/>
      </c>
      <c r="BW16" s="8" t="str">
        <f t="shared" si="77"/>
        <v/>
      </c>
      <c r="BX16" s="8" t="str">
        <f t="shared" si="78"/>
        <v/>
      </c>
      <c r="BY16" s="8" t="str">
        <f t="shared" si="79"/>
        <v/>
      </c>
      <c r="BZ16" s="8">
        <f>BD16</f>
        <v>-5</v>
      </c>
      <c r="CA16" s="8">
        <f t="shared" ref="CA16:CJ16" si="94">BE16</f>
        <v>116</v>
      </c>
      <c r="CB16" s="8">
        <f t="shared" si="94"/>
        <v>38</v>
      </c>
      <c r="CC16" s="8">
        <f t="shared" si="94"/>
        <v>-18</v>
      </c>
      <c r="CD16" s="8">
        <f t="shared" si="94"/>
        <v>501</v>
      </c>
      <c r="CE16" s="8">
        <f t="shared" si="94"/>
        <v>321</v>
      </c>
      <c r="CF16" s="8">
        <f t="shared" si="94"/>
        <v>95</v>
      </c>
      <c r="CG16" s="8">
        <f t="shared" si="94"/>
        <v>84</v>
      </c>
      <c r="CH16" s="8">
        <f t="shared" si="94"/>
        <v>48</v>
      </c>
      <c r="CI16" s="8">
        <f t="shared" si="94"/>
        <v>-48</v>
      </c>
      <c r="CJ16" s="8">
        <f t="shared" si="94"/>
        <v>167</v>
      </c>
      <c r="CO16" s="8" t="str">
        <f t="shared" si="81"/>
        <v>Becker</v>
      </c>
      <c r="CP16" s="4">
        <f t="shared" si="87"/>
        <v>6.1622179220138928</v>
      </c>
      <c r="CQ16" s="4">
        <f t="shared" si="82"/>
        <v>127.16221792201389</v>
      </c>
      <c r="CR16" s="4">
        <f t="shared" si="82"/>
        <v>49.162217922013895</v>
      </c>
      <c r="CS16" s="4">
        <f t="shared" si="82"/>
        <v>-6.8377820779861072</v>
      </c>
      <c r="CT16" s="4">
        <f t="shared" si="82"/>
        <v>512.16221792201384</v>
      </c>
      <c r="CU16" s="4">
        <f t="shared" si="82"/>
        <v>332.16221792201389</v>
      </c>
      <c r="CV16" s="4">
        <f t="shared" si="82"/>
        <v>106.16221792201389</v>
      </c>
      <c r="CW16" s="4">
        <f t="shared" si="82"/>
        <v>95.162217922013895</v>
      </c>
      <c r="CX16" s="4">
        <f t="shared" si="82"/>
        <v>59.162217922013895</v>
      </c>
      <c r="CY16" s="4">
        <f t="shared" si="82"/>
        <v>-36.837782077986105</v>
      </c>
      <c r="CZ16" s="4">
        <f t="shared" si="82"/>
        <v>178.16221792201389</v>
      </c>
      <c r="DA16" s="4">
        <f t="shared" si="82"/>
        <v>11.162217922013893</v>
      </c>
      <c r="DB16" s="4">
        <f t="shared" si="82"/>
        <v>11.162217922013893</v>
      </c>
      <c r="DC16" s="4">
        <f t="shared" si="82"/>
        <v>11.162217922013893</v>
      </c>
      <c r="DD16" s="4"/>
      <c r="DE16" s="8">
        <f>VLOOKUP(B16,[1]Ranking!$C$3:$BM$19, 34, FALSE)</f>
        <v>46</v>
      </c>
      <c r="DF16" s="4">
        <f>VLOOKUP(B16,[1]Ranking!$C$3:$BM$19, 63, FALSE)</f>
        <v>513.46202441263904</v>
      </c>
      <c r="DG16" s="4">
        <f t="shared" si="83"/>
        <v>11.162217922013893</v>
      </c>
    </row>
    <row r="17" spans="1:143" x14ac:dyDescent="0.3">
      <c r="A17" s="8">
        <v>15</v>
      </c>
      <c r="B17" s="8" t="str">
        <f>VLOOKUP(A17,[1]Ranking!$Z$3:$AA$19, 2, FALSE)</f>
        <v>Vilas</v>
      </c>
      <c r="C17" s="8" t="s">
        <v>52</v>
      </c>
      <c r="D17" s="3">
        <f t="shared" ca="1" si="53"/>
        <v>0.72726141131828281</v>
      </c>
      <c r="E17" s="8">
        <f t="shared" ca="1" si="54"/>
        <v>3</v>
      </c>
      <c r="F17" s="8" t="str">
        <f t="shared" si="84"/>
        <v>Vilas</v>
      </c>
      <c r="G17" s="8">
        <f>VLOOKUP($C17,[1]Data!$C$3:$Z$86,G$1, FALSE)</f>
        <v>0</v>
      </c>
      <c r="H17" s="8">
        <f>VLOOKUP($C17,[1]Data!$C$3:$Z$86,H$1, FALSE)</f>
        <v>0</v>
      </c>
      <c r="I17" s="8">
        <f>VLOOKUP($C17,[1]Data!$C$3:$Z$86,I$1, FALSE)</f>
        <v>-12</v>
      </c>
      <c r="J17" s="8">
        <f>VLOOKUP($C17,[1]Data!$C$3:$Z$86,J$1, FALSE)</f>
        <v>-87</v>
      </c>
      <c r="K17" s="8">
        <f>VLOOKUP($C17,[1]Data!$C$3:$Z$86,K$1, FALSE)</f>
        <v>28</v>
      </c>
      <c r="L17" s="8">
        <f>VLOOKUP($C17,[1]Data!$C$3:$Z$86,L$1, FALSE)</f>
        <v>264</v>
      </c>
      <c r="M17" s="8">
        <f>VLOOKUP($C17,[1]Data!$C$3:$Z$86,M$1, FALSE)</f>
        <v>217</v>
      </c>
      <c r="N17" s="8">
        <f>VLOOKUP($C17,[1]Data!$C$3:$Z$86,N$1, FALSE)</f>
        <v>391</v>
      </c>
      <c r="O17" s="8">
        <f>VLOOKUP($C17,[1]Data!$C$3:$Z$86,O$1, FALSE)</f>
        <v>83</v>
      </c>
      <c r="P17" s="8">
        <f>VLOOKUP($C17,[1]Data!$C$3:$Z$86,P$1, FALSE)</f>
        <v>23</v>
      </c>
      <c r="Q17" s="8">
        <f>VLOOKUP($C17,[1]Data!$C$3:$Z$86,Q$1, FALSE)</f>
        <v>21</v>
      </c>
      <c r="R17" s="8">
        <f>VLOOKUP($C17,[1]Data!$C$3:$Z$86,R$1, FALSE)</f>
        <v>113</v>
      </c>
      <c r="S17" s="8">
        <f>VLOOKUP($C17,[1]Data!$C$3:$Z$86,S$1, FALSE)</f>
        <v>169</v>
      </c>
      <c r="T17" s="8">
        <f>VLOOKUP($C17,[1]Data!$C$3:$Z$86,T$1, FALSE)</f>
        <v>-93</v>
      </c>
      <c r="U17" s="8">
        <f>VLOOKUP($C17,[1]Data!$C$3:$Z$86,U$1, FALSE)</f>
        <v>-18</v>
      </c>
      <c r="V17" s="8">
        <f>VLOOKUP($C17,[1]Data!$C$3:$Z$86,V$1, FALSE)</f>
        <v>-15</v>
      </c>
      <c r="W17" s="8">
        <f>VLOOKUP($C17,[1]Data!$C$3:$Z$86,W$1, FALSE)</f>
        <v>-43</v>
      </c>
      <c r="X17" s="8">
        <f>VLOOKUP($C17,[1]Data!$C$3:$Z$86,X$1, FALSE)</f>
        <v>0</v>
      </c>
      <c r="Y17" s="8">
        <f>VLOOKUP($C17,[1]Data!$C$3:$Z$86,Y$1, FALSE)</f>
        <v>0</v>
      </c>
      <c r="Z17" s="8">
        <f>VLOOKUP($C17,[1]Data!$C$3:$Z$86,Z$1, FALSE)</f>
        <v>0</v>
      </c>
      <c r="AA17" s="8">
        <f>VLOOKUP($C17,[1]Data!$C$3:$Z$86,AA$1, FALSE)</f>
        <v>0</v>
      </c>
      <c r="AB17" s="8">
        <f>VLOOKUP($C17,[1]Data!$C$3:$Z$86,AB$1, FALSE)</f>
        <v>0</v>
      </c>
      <c r="AC17" s="8">
        <f>VLOOKUP($C17,[1]Data!$C$3:$Z$86,AC$1, FALSE)</f>
        <v>0</v>
      </c>
      <c r="AE17" s="8">
        <f t="shared" si="55"/>
        <v>10</v>
      </c>
      <c r="AF17" s="8">
        <f t="shared" si="55"/>
        <v>10</v>
      </c>
      <c r="AG17" s="8">
        <f t="shared" si="55"/>
        <v>18</v>
      </c>
      <c r="AH17" s="8">
        <f t="shared" si="55"/>
        <v>22</v>
      </c>
      <c r="AI17" s="8">
        <f t="shared" si="55"/>
        <v>7</v>
      </c>
      <c r="AJ17" s="8">
        <f t="shared" si="55"/>
        <v>2</v>
      </c>
      <c r="AK17" s="8">
        <f t="shared" si="55"/>
        <v>3</v>
      </c>
      <c r="AL17" s="8">
        <f t="shared" si="55"/>
        <v>1</v>
      </c>
      <c r="AM17" s="8">
        <f t="shared" si="55"/>
        <v>6</v>
      </c>
      <c r="AN17" s="8">
        <f t="shared" si="55"/>
        <v>8</v>
      </c>
      <c r="AO17" s="8">
        <f t="shared" si="55"/>
        <v>9</v>
      </c>
      <c r="AP17" s="8">
        <f t="shared" si="55"/>
        <v>5</v>
      </c>
      <c r="AQ17" s="8">
        <f t="shared" si="55"/>
        <v>4</v>
      </c>
      <c r="AR17" s="8">
        <f t="shared" si="55"/>
        <v>23</v>
      </c>
      <c r="AS17" s="8">
        <f t="shared" si="55"/>
        <v>20</v>
      </c>
      <c r="AT17" s="8">
        <f t="shared" si="55"/>
        <v>19</v>
      </c>
      <c r="AU17" s="8">
        <f t="shared" si="56"/>
        <v>21</v>
      </c>
      <c r="AV17" s="8">
        <f t="shared" si="56"/>
        <v>10</v>
      </c>
      <c r="AW17" s="8">
        <f t="shared" si="56"/>
        <v>10</v>
      </c>
      <c r="AX17" s="8">
        <f t="shared" si="56"/>
        <v>10</v>
      </c>
      <c r="AY17" s="8">
        <f t="shared" si="56"/>
        <v>10</v>
      </c>
      <c r="AZ17" s="8">
        <f t="shared" si="56"/>
        <v>10</v>
      </c>
      <c r="BA17" s="8">
        <f t="shared" si="56"/>
        <v>10</v>
      </c>
      <c r="BC17" s="8" t="str">
        <f t="shared" si="57"/>
        <v/>
      </c>
      <c r="BD17" s="8" t="str">
        <f t="shared" si="58"/>
        <v/>
      </c>
      <c r="BE17" s="8">
        <f>I17</f>
        <v>-12</v>
      </c>
      <c r="BF17" s="8">
        <f>J17</f>
        <v>-87</v>
      </c>
      <c r="BG17" s="8">
        <f t="shared" si="61"/>
        <v>28</v>
      </c>
      <c r="BH17" s="8">
        <f t="shared" si="62"/>
        <v>264</v>
      </c>
      <c r="BI17" s="8">
        <f t="shared" si="63"/>
        <v>217</v>
      </c>
      <c r="BJ17" s="8">
        <f t="shared" si="64"/>
        <v>391</v>
      </c>
      <c r="BK17" s="8">
        <f t="shared" si="65"/>
        <v>83</v>
      </c>
      <c r="BL17" s="8">
        <f t="shared" si="66"/>
        <v>23</v>
      </c>
      <c r="BM17" s="8">
        <f t="shared" si="67"/>
        <v>21</v>
      </c>
      <c r="BN17" s="8">
        <f t="shared" si="68"/>
        <v>113</v>
      </c>
      <c r="BO17" s="8">
        <f t="shared" si="69"/>
        <v>169</v>
      </c>
      <c r="BP17" s="8">
        <f>T17</f>
        <v>-93</v>
      </c>
      <c r="BQ17" s="8">
        <f>U17</f>
        <v>-18</v>
      </c>
      <c r="BR17" s="8">
        <f>V17</f>
        <v>-15</v>
      </c>
      <c r="BS17" s="8">
        <f>W17</f>
        <v>-43</v>
      </c>
      <c r="BT17" s="8" t="str">
        <f t="shared" si="74"/>
        <v/>
      </c>
      <c r="BU17" s="8" t="str">
        <f t="shared" si="75"/>
        <v/>
      </c>
      <c r="BV17" s="8" t="str">
        <f t="shared" si="76"/>
        <v/>
      </c>
      <c r="BW17" s="8" t="str">
        <f t="shared" si="77"/>
        <v/>
      </c>
      <c r="BX17" s="8" t="str">
        <f t="shared" si="78"/>
        <v/>
      </c>
      <c r="BY17" s="8" t="str">
        <f t="shared" si="79"/>
        <v/>
      </c>
      <c r="BZ17" s="8">
        <f>BE17</f>
        <v>-12</v>
      </c>
      <c r="CA17" s="8">
        <f t="shared" ref="CA17:CN17" si="95">BF17</f>
        <v>-87</v>
      </c>
      <c r="CB17" s="8">
        <f t="shared" si="95"/>
        <v>28</v>
      </c>
      <c r="CC17" s="8">
        <f t="shared" si="95"/>
        <v>264</v>
      </c>
      <c r="CD17" s="8">
        <f t="shared" si="95"/>
        <v>217</v>
      </c>
      <c r="CE17" s="8">
        <f t="shared" si="95"/>
        <v>391</v>
      </c>
      <c r="CF17" s="8">
        <f t="shared" si="95"/>
        <v>83</v>
      </c>
      <c r="CG17" s="8">
        <f t="shared" si="95"/>
        <v>23</v>
      </c>
      <c r="CH17" s="8">
        <f t="shared" si="95"/>
        <v>21</v>
      </c>
      <c r="CI17" s="8">
        <f t="shared" si="95"/>
        <v>113</v>
      </c>
      <c r="CJ17" s="8">
        <f t="shared" si="95"/>
        <v>169</v>
      </c>
      <c r="CK17" s="8">
        <f t="shared" si="95"/>
        <v>-93</v>
      </c>
      <c r="CL17" s="8">
        <f t="shared" si="95"/>
        <v>-18</v>
      </c>
      <c r="CM17" s="8">
        <f t="shared" si="95"/>
        <v>-15</v>
      </c>
      <c r="CN17" s="8">
        <f t="shared" si="95"/>
        <v>-43</v>
      </c>
      <c r="CO17" s="8" t="str">
        <f t="shared" si="81"/>
        <v>Vilas</v>
      </c>
      <c r="CP17" s="4">
        <f t="shared" si="87"/>
        <v>-0.83778207798612314</v>
      </c>
      <c r="CQ17" s="4">
        <f t="shared" si="82"/>
        <v>-75.83778207798612</v>
      </c>
      <c r="CR17" s="4">
        <f t="shared" si="82"/>
        <v>39.16221792201388</v>
      </c>
      <c r="CS17" s="4">
        <f t="shared" si="82"/>
        <v>275.16221792201389</v>
      </c>
      <c r="CT17" s="4">
        <f t="shared" si="82"/>
        <v>228.16221792201387</v>
      </c>
      <c r="CU17" s="4">
        <f t="shared" si="82"/>
        <v>402.16221792201389</v>
      </c>
      <c r="CV17" s="4">
        <f t="shared" si="82"/>
        <v>94.16221792201388</v>
      </c>
      <c r="CW17" s="4">
        <f t="shared" si="82"/>
        <v>34.16221792201388</v>
      </c>
      <c r="CX17" s="4">
        <f t="shared" si="82"/>
        <v>32.16221792201388</v>
      </c>
      <c r="CY17" s="4">
        <f t="shared" si="82"/>
        <v>124.16221792201388</v>
      </c>
      <c r="CZ17" s="4">
        <f t="shared" si="82"/>
        <v>180.16221792201387</v>
      </c>
      <c r="DA17" s="4"/>
      <c r="DB17" s="4"/>
      <c r="DC17" s="4"/>
      <c r="DD17" s="4"/>
      <c r="DE17" s="8">
        <f>VLOOKUP(B17,[1]Ranking!$C$3:$BM$19, 34, FALSE)</f>
        <v>49</v>
      </c>
      <c r="DF17" s="4">
        <f>VLOOKUP(B17,[1]Ranking!$C$3:$BM$19, 63, FALSE)</f>
        <v>546.94867817867998</v>
      </c>
      <c r="DG17" s="4">
        <f t="shared" si="83"/>
        <v>11.162217922013877</v>
      </c>
    </row>
    <row r="18" spans="1:143" x14ac:dyDescent="0.3">
      <c r="A18" s="8">
        <v>16</v>
      </c>
      <c r="B18" s="8" t="str">
        <f>VLOOKUP(A18,[1]Ranking!$Z$3:$AA$19, 2, FALSE)</f>
        <v>Courier</v>
      </c>
      <c r="C18" s="8" t="s">
        <v>53</v>
      </c>
      <c r="D18" s="3">
        <f t="shared" ca="1" si="53"/>
        <v>0.34436602728222765</v>
      </c>
      <c r="E18" s="8">
        <f t="shared" ca="1" si="54"/>
        <v>9</v>
      </c>
      <c r="F18" s="8" t="str">
        <f t="shared" si="84"/>
        <v>Courier</v>
      </c>
      <c r="G18" s="8">
        <f>VLOOKUP($C18,[1]Data!$C$3:$Z$86,G$1, FALSE)</f>
        <v>3</v>
      </c>
      <c r="H18" s="8">
        <f>VLOOKUP($C18,[1]Data!$C$3:$Z$86,H$1, FALSE)</f>
        <v>69</v>
      </c>
      <c r="I18" s="8">
        <f>VLOOKUP($C18,[1]Data!$C$3:$Z$86,I$1, FALSE)</f>
        <v>5</v>
      </c>
      <c r="J18" s="8">
        <f>VLOOKUP($C18,[1]Data!$C$3:$Z$86,J$1, FALSE)</f>
        <v>352</v>
      </c>
      <c r="K18" s="8">
        <f>VLOOKUP($C18,[1]Data!$C$3:$Z$86,K$1, FALSE)</f>
        <v>294</v>
      </c>
      <c r="L18" s="8">
        <f>VLOOKUP($C18,[1]Data!$C$3:$Z$86,L$1, FALSE)</f>
        <v>58</v>
      </c>
      <c r="M18" s="8">
        <f>VLOOKUP($C18,[1]Data!$C$3:$Z$86,M$1, FALSE)</f>
        <v>33</v>
      </c>
      <c r="N18" s="8">
        <f>VLOOKUP($C18,[1]Data!$C$3:$Z$86,N$1, FALSE)</f>
        <v>313</v>
      </c>
      <c r="O18" s="8">
        <f>VLOOKUP($C18,[1]Data!$C$3:$Z$86,O$1, FALSE)</f>
        <v>0</v>
      </c>
      <c r="P18" s="8">
        <f>VLOOKUP($C18,[1]Data!$C$3:$Z$86,P$1, FALSE)</f>
        <v>-62</v>
      </c>
      <c r="Q18" s="8">
        <f>VLOOKUP($C18,[1]Data!$C$3:$Z$86,Q$1, FALSE)</f>
        <v>0</v>
      </c>
      <c r="R18" s="8">
        <f>VLOOKUP($C18,[1]Data!$C$3:$Z$86,R$1, FALSE)</f>
        <v>-95</v>
      </c>
      <c r="S18" s="8">
        <f>VLOOKUP($C18,[1]Data!$C$3:$Z$86,S$1, FALSE)</f>
        <v>0</v>
      </c>
      <c r="T18" s="8">
        <f>VLOOKUP($C18,[1]Data!$C$3:$Z$86,T$1, FALSE)</f>
        <v>0</v>
      </c>
      <c r="U18" s="8">
        <f>VLOOKUP($C18,[1]Data!$C$3:$Z$86,U$1, FALSE)</f>
        <v>0</v>
      </c>
      <c r="V18" s="8">
        <f>VLOOKUP($C18,[1]Data!$C$3:$Z$86,V$1, FALSE)</f>
        <v>0</v>
      </c>
      <c r="W18" s="8">
        <f>VLOOKUP($C18,[1]Data!$C$3:$Z$86,W$1, FALSE)</f>
        <v>0</v>
      </c>
      <c r="X18" s="8">
        <f>VLOOKUP($C18,[1]Data!$C$3:$Z$86,X$1, FALSE)</f>
        <v>0</v>
      </c>
      <c r="Y18" s="8">
        <f>VLOOKUP($C18,[1]Data!$C$3:$Z$86,Y$1, FALSE)</f>
        <v>0</v>
      </c>
      <c r="Z18" s="8">
        <f>VLOOKUP($C18,[1]Data!$C$3:$Z$86,Z$1, FALSE)</f>
        <v>0</v>
      </c>
      <c r="AA18" s="8">
        <f>VLOOKUP($C18,[1]Data!$C$3:$Z$86,AA$1, FALSE)</f>
        <v>0</v>
      </c>
      <c r="AB18" s="8">
        <f>VLOOKUP($C18,[1]Data!$C$3:$Z$86,AB$1, FALSE)</f>
        <v>0</v>
      </c>
      <c r="AC18" s="8">
        <f>VLOOKUP($C18,[1]Data!$C$3:$Z$86,AC$1, FALSE)</f>
        <v>0</v>
      </c>
      <c r="AE18" s="8">
        <f t="shared" si="55"/>
        <v>8</v>
      </c>
      <c r="AF18" s="8">
        <f t="shared" si="55"/>
        <v>4</v>
      </c>
      <c r="AG18" s="8">
        <f t="shared" si="55"/>
        <v>7</v>
      </c>
      <c r="AH18" s="8">
        <f t="shared" si="55"/>
        <v>1</v>
      </c>
      <c r="AI18" s="8">
        <f t="shared" si="55"/>
        <v>3</v>
      </c>
      <c r="AJ18" s="8">
        <f t="shared" si="55"/>
        <v>5</v>
      </c>
      <c r="AK18" s="8">
        <f t="shared" si="55"/>
        <v>6</v>
      </c>
      <c r="AL18" s="8">
        <f t="shared" si="55"/>
        <v>2</v>
      </c>
      <c r="AM18" s="8">
        <f t="shared" si="55"/>
        <v>9</v>
      </c>
      <c r="AN18" s="8">
        <f t="shared" si="55"/>
        <v>22</v>
      </c>
      <c r="AO18" s="8">
        <f t="shared" si="55"/>
        <v>9</v>
      </c>
      <c r="AP18" s="8">
        <f t="shared" si="55"/>
        <v>23</v>
      </c>
      <c r="AQ18" s="8">
        <f t="shared" si="55"/>
        <v>9</v>
      </c>
      <c r="AR18" s="8">
        <f t="shared" si="55"/>
        <v>9</v>
      </c>
      <c r="AS18" s="8">
        <f t="shared" si="55"/>
        <v>9</v>
      </c>
      <c r="AT18" s="8">
        <f t="shared" si="55"/>
        <v>9</v>
      </c>
      <c r="AU18" s="8">
        <f t="shared" si="56"/>
        <v>9</v>
      </c>
      <c r="AV18" s="8">
        <f t="shared" si="56"/>
        <v>9</v>
      </c>
      <c r="AW18" s="8">
        <f t="shared" si="56"/>
        <v>9</v>
      </c>
      <c r="AX18" s="8">
        <f t="shared" si="56"/>
        <v>9</v>
      </c>
      <c r="AY18" s="8">
        <f t="shared" si="56"/>
        <v>9</v>
      </c>
      <c r="AZ18" s="8">
        <f t="shared" si="56"/>
        <v>9</v>
      </c>
      <c r="BA18" s="8">
        <f t="shared" si="56"/>
        <v>9</v>
      </c>
      <c r="BC18" s="8">
        <f t="shared" si="57"/>
        <v>3</v>
      </c>
      <c r="BD18" s="8">
        <f t="shared" si="58"/>
        <v>69</v>
      </c>
      <c r="BE18" s="8">
        <f t="shared" si="59"/>
        <v>5</v>
      </c>
      <c r="BF18" s="8">
        <f t="shared" si="60"/>
        <v>352</v>
      </c>
      <c r="BG18" s="8">
        <f t="shared" si="61"/>
        <v>294</v>
      </c>
      <c r="BH18" s="8">
        <f t="shared" si="62"/>
        <v>58</v>
      </c>
      <c r="BI18" s="8">
        <f t="shared" si="63"/>
        <v>33</v>
      </c>
      <c r="BJ18" s="8">
        <f t="shared" si="64"/>
        <v>313</v>
      </c>
      <c r="BK18" s="8" t="str">
        <f t="shared" si="65"/>
        <v/>
      </c>
      <c r="BL18" s="8">
        <f>P18</f>
        <v>-62</v>
      </c>
      <c r="BM18" s="8" t="str">
        <f t="shared" si="67"/>
        <v/>
      </c>
      <c r="BN18" s="8">
        <f>R18</f>
        <v>-95</v>
      </c>
      <c r="BO18" s="8" t="str">
        <f t="shared" si="69"/>
        <v/>
      </c>
      <c r="BP18" s="8" t="str">
        <f t="shared" si="70"/>
        <v/>
      </c>
      <c r="BQ18" s="8" t="str">
        <f t="shared" si="71"/>
        <v/>
      </c>
      <c r="BR18" s="8" t="str">
        <f t="shared" si="72"/>
        <v/>
      </c>
      <c r="BS18" s="8" t="str">
        <f t="shared" si="73"/>
        <v/>
      </c>
      <c r="BT18" s="8" t="str">
        <f t="shared" si="74"/>
        <v/>
      </c>
      <c r="BU18" s="8" t="str">
        <f t="shared" si="75"/>
        <v/>
      </c>
      <c r="BV18" s="8" t="str">
        <f t="shared" si="76"/>
        <v/>
      </c>
      <c r="BW18" s="8" t="str">
        <f t="shared" si="77"/>
        <v/>
      </c>
      <c r="BX18" s="8" t="str">
        <f t="shared" si="78"/>
        <v/>
      </c>
      <c r="BY18" s="8" t="str">
        <f t="shared" si="79"/>
        <v/>
      </c>
      <c r="BZ18" s="8">
        <f>BC18</f>
        <v>3</v>
      </c>
      <c r="CA18" s="8">
        <f t="shared" ref="CA18:CG18" si="96">BD18</f>
        <v>69</v>
      </c>
      <c r="CB18" s="8">
        <f t="shared" si="96"/>
        <v>5</v>
      </c>
      <c r="CC18" s="8">
        <f t="shared" si="96"/>
        <v>352</v>
      </c>
      <c r="CD18" s="8">
        <f t="shared" si="96"/>
        <v>294</v>
      </c>
      <c r="CE18" s="8">
        <f t="shared" si="96"/>
        <v>58</v>
      </c>
      <c r="CF18" s="8">
        <f t="shared" si="96"/>
        <v>33</v>
      </c>
      <c r="CG18" s="8">
        <f t="shared" si="96"/>
        <v>313</v>
      </c>
      <c r="CH18" s="8">
        <f>BL18</f>
        <v>-62</v>
      </c>
      <c r="CI18" s="8">
        <f>BN18</f>
        <v>-95</v>
      </c>
      <c r="CO18" s="8" t="str">
        <f t="shared" si="81"/>
        <v>Courier</v>
      </c>
      <c r="CP18" s="4">
        <f t="shared" si="87"/>
        <v>14.162217922013886</v>
      </c>
      <c r="CQ18" s="4">
        <f t="shared" si="82"/>
        <v>80.16221792201388</v>
      </c>
      <c r="CR18" s="4">
        <f t="shared" si="82"/>
        <v>16.162217922013888</v>
      </c>
      <c r="CS18" s="4">
        <f t="shared" si="82"/>
        <v>363.16221792201389</v>
      </c>
      <c r="CT18" s="4">
        <f>CD18+$DG18</f>
        <v>305.16221792201389</v>
      </c>
      <c r="CU18" s="4">
        <f t="shared" si="82"/>
        <v>69.16221792201388</v>
      </c>
      <c r="CV18" s="4">
        <f>CD18+$DG18</f>
        <v>305.16221792201389</v>
      </c>
      <c r="CW18" s="4">
        <f t="shared" si="82"/>
        <v>324.16221792201389</v>
      </c>
      <c r="CX18" s="4">
        <f t="shared" si="82"/>
        <v>-50.837782077986112</v>
      </c>
      <c r="CY18" s="4">
        <f t="shared" si="82"/>
        <v>-83.83778207798612</v>
      </c>
      <c r="CZ18" s="4">
        <f t="shared" si="82"/>
        <v>11.162217922013886</v>
      </c>
      <c r="DA18" s="4"/>
      <c r="DB18" s="4"/>
      <c r="DC18" s="4"/>
      <c r="DD18" s="4"/>
      <c r="DE18" s="8">
        <f>VLOOKUP(B18,[1]Ranking!$C$3:$BM$19, 34, FALSE)</f>
        <v>42</v>
      </c>
      <c r="DF18" s="4">
        <f>VLOOKUP(B18,[1]Ranking!$C$3:$BM$19, 63, FALSE)</f>
        <v>468.81315272458323</v>
      </c>
      <c r="DG18" s="4">
        <f t="shared" si="83"/>
        <v>11.162217922013886</v>
      </c>
    </row>
    <row r="19" spans="1:143" x14ac:dyDescent="0.3">
      <c r="DH19" s="8">
        <v>2</v>
      </c>
      <c r="DI19" s="8">
        <v>3</v>
      </c>
      <c r="DJ19" s="8">
        <v>4</v>
      </c>
      <c r="DK19" s="8">
        <v>5</v>
      </c>
      <c r="DL19" s="8">
        <v>6</v>
      </c>
      <c r="DM19" s="8">
        <v>7</v>
      </c>
      <c r="DN19" s="8">
        <v>8</v>
      </c>
      <c r="DO19" s="8">
        <v>9</v>
      </c>
      <c r="DP19" s="8">
        <v>10</v>
      </c>
      <c r="DQ19" s="8">
        <v>11</v>
      </c>
      <c r="DR19" s="8">
        <v>12</v>
      </c>
      <c r="DS19" s="8">
        <v>13</v>
      </c>
      <c r="DT19" s="8">
        <v>14</v>
      </c>
      <c r="DU19" s="8">
        <v>15</v>
      </c>
      <c r="DV19" s="8">
        <v>16</v>
      </c>
    </row>
    <row r="20" spans="1:143" x14ac:dyDescent="0.3">
      <c r="DX20" s="8">
        <v>1</v>
      </c>
      <c r="DY20" s="8">
        <v>2</v>
      </c>
      <c r="DZ20" s="8">
        <v>3</v>
      </c>
      <c r="EA20" s="8">
        <v>4</v>
      </c>
      <c r="EB20" s="8">
        <v>5</v>
      </c>
      <c r="EC20" s="8">
        <v>6</v>
      </c>
      <c r="ED20" s="8">
        <v>7</v>
      </c>
      <c r="EE20" s="8">
        <v>8</v>
      </c>
      <c r="EF20" s="8">
        <v>9</v>
      </c>
      <c r="EG20" s="8">
        <v>10</v>
      </c>
      <c r="EH20" s="8">
        <v>11</v>
      </c>
      <c r="EI20" s="8">
        <v>12</v>
      </c>
      <c r="EJ20" s="8">
        <v>13</v>
      </c>
      <c r="EK20" s="8">
        <v>14</v>
      </c>
      <c r="EL20" s="8">
        <v>15</v>
      </c>
    </row>
    <row r="21" spans="1:143" x14ac:dyDescent="0.3">
      <c r="A21" s="8">
        <v>1</v>
      </c>
      <c r="B21" s="8" t="str">
        <f>VLOOKUP(A21,$A$2:$B$18, 2, FALSE)</f>
        <v>Connors</v>
      </c>
      <c r="DH21" s="8">
        <f t="shared" ref="DH21:DV36" si="97">VLOOKUP($B21,$CO$2:$DD$18,DH$19,FALSE)</f>
        <v>217.16221792201389</v>
      </c>
      <c r="DI21" s="8">
        <f t="shared" si="97"/>
        <v>568.16221792201384</v>
      </c>
      <c r="DJ21" s="8">
        <f t="shared" si="97"/>
        <v>400.16221792201389</v>
      </c>
      <c r="DK21" s="8">
        <f t="shared" si="97"/>
        <v>459.16221792201389</v>
      </c>
      <c r="DL21" s="8">
        <f t="shared" si="97"/>
        <v>374.16221792201389</v>
      </c>
      <c r="DM21" s="8">
        <f t="shared" si="97"/>
        <v>503.16221792201389</v>
      </c>
      <c r="DN21" s="8">
        <f t="shared" si="97"/>
        <v>283.16221792201389</v>
      </c>
      <c r="DO21" s="8">
        <f t="shared" si="97"/>
        <v>260.16221792201389</v>
      </c>
      <c r="DP21" s="8">
        <f t="shared" si="97"/>
        <v>461.16221792201389</v>
      </c>
      <c r="DQ21" s="8">
        <f t="shared" si="97"/>
        <v>487.16221792201389</v>
      </c>
      <c r="DR21" s="8">
        <f t="shared" si="97"/>
        <v>291.16221792201389</v>
      </c>
      <c r="DS21" s="8">
        <f t="shared" si="97"/>
        <v>237.16221792201389</v>
      </c>
      <c r="DT21" s="8">
        <f t="shared" si="97"/>
        <v>237.16221792201389</v>
      </c>
      <c r="DU21" s="8">
        <f t="shared" si="97"/>
        <v>248.16221792201389</v>
      </c>
      <c r="DV21" s="8">
        <f t="shared" si="97"/>
        <v>184.16221792201389</v>
      </c>
      <c r="DW21" s="8" t="str">
        <f>B21</f>
        <v>Connors</v>
      </c>
      <c r="DX21" s="8">
        <f t="shared" ref="DX21:EL36" si="98">IF(DH21=0, "",DH21)</f>
        <v>217.16221792201389</v>
      </c>
      <c r="DY21" s="8">
        <f t="shared" si="98"/>
        <v>568.16221792201384</v>
      </c>
      <c r="DZ21" s="8">
        <f t="shared" si="98"/>
        <v>400.16221792201389</v>
      </c>
      <c r="EA21" s="8">
        <f t="shared" si="98"/>
        <v>459.16221792201389</v>
      </c>
      <c r="EB21" s="8">
        <f t="shared" si="98"/>
        <v>374.16221792201389</v>
      </c>
      <c r="EC21" s="8">
        <f t="shared" si="98"/>
        <v>503.16221792201389</v>
      </c>
      <c r="ED21" s="8">
        <f t="shared" si="98"/>
        <v>283.16221792201389</v>
      </c>
      <c r="EE21" s="8">
        <f t="shared" si="98"/>
        <v>260.16221792201389</v>
      </c>
      <c r="EF21" s="8">
        <f t="shared" si="98"/>
        <v>461.16221792201389</v>
      </c>
      <c r="EG21" s="8">
        <f t="shared" si="98"/>
        <v>487.16221792201389</v>
      </c>
      <c r="EH21" s="8">
        <f t="shared" si="98"/>
        <v>291.16221792201389</v>
      </c>
      <c r="EI21" s="8">
        <f t="shared" si="98"/>
        <v>237.16221792201389</v>
      </c>
      <c r="EJ21" s="8">
        <f t="shared" si="98"/>
        <v>237.16221792201389</v>
      </c>
      <c r="EK21" s="8">
        <f t="shared" si="98"/>
        <v>248.16221792201389</v>
      </c>
      <c r="EL21" s="8">
        <f t="shared" si="98"/>
        <v>184.16221792201389</v>
      </c>
      <c r="EM21" s="8">
        <f t="shared" ref="EM21:EM36" si="99">COUNT(DX21:EL21)</f>
        <v>15</v>
      </c>
    </row>
    <row r="22" spans="1:143" x14ac:dyDescent="0.3">
      <c r="A22" s="6">
        <v>1</v>
      </c>
      <c r="B22" s="8" t="str">
        <f t="shared" ref="B22:B27" ca="1" si="100">VLOOKUP(A22,$E$2:$F$18, 2, FALSE)</f>
        <v>Edberg</v>
      </c>
      <c r="DH22" s="8">
        <f t="shared" ca="1" si="97"/>
        <v>-85.83778207798612</v>
      </c>
      <c r="DI22" s="8">
        <f t="shared" ca="1" si="97"/>
        <v>200.16221792201389</v>
      </c>
      <c r="DJ22" s="8">
        <f t="shared" ca="1" si="97"/>
        <v>200.16221792201389</v>
      </c>
      <c r="DK22" s="8">
        <f t="shared" ca="1" si="97"/>
        <v>291.16221792201389</v>
      </c>
      <c r="DL22" s="8">
        <f t="shared" ca="1" si="97"/>
        <v>47.16221792201388</v>
      </c>
      <c r="DM22" s="8">
        <f t="shared" ca="1" si="97"/>
        <v>53.16221792201388</v>
      </c>
      <c r="DN22" s="8">
        <f t="shared" ca="1" si="97"/>
        <v>-40.83778207798612</v>
      </c>
      <c r="DO22" s="8">
        <f t="shared" ca="1" si="97"/>
        <v>384.16221792201389</v>
      </c>
      <c r="DP22" s="8">
        <f t="shared" ca="1" si="97"/>
        <v>557.16221792201384</v>
      </c>
      <c r="DQ22" s="8">
        <f t="shared" ca="1" si="97"/>
        <v>-5.837782077986116</v>
      </c>
      <c r="DR22" s="8">
        <f t="shared" ca="1" si="97"/>
        <v>-41.83778207798612</v>
      </c>
      <c r="DS22" s="8">
        <f t="shared" ca="1" si="97"/>
        <v>49.16221792201388</v>
      </c>
      <c r="DT22" s="8">
        <f t="shared" ca="1" si="97"/>
        <v>267.16221792201389</v>
      </c>
      <c r="DU22" s="8">
        <f t="shared" ca="1" si="97"/>
        <v>11.162217922013884</v>
      </c>
      <c r="DV22" s="8">
        <f t="shared" ca="1" si="97"/>
        <v>0</v>
      </c>
      <c r="DW22" s="8" t="str">
        <f t="shared" ref="DW22:DW36" ca="1" si="101">B22</f>
        <v>Edberg</v>
      </c>
      <c r="DX22" s="8">
        <f t="shared" ca="1" si="98"/>
        <v>-85.83778207798612</v>
      </c>
      <c r="DY22" s="8">
        <f t="shared" ca="1" si="98"/>
        <v>200.16221792201389</v>
      </c>
      <c r="DZ22" s="8">
        <f t="shared" ca="1" si="98"/>
        <v>200.16221792201389</v>
      </c>
      <c r="EA22" s="8">
        <f t="shared" ca="1" si="98"/>
        <v>291.16221792201389</v>
      </c>
      <c r="EB22" s="8">
        <f t="shared" ca="1" si="98"/>
        <v>47.16221792201388</v>
      </c>
      <c r="EC22" s="8">
        <f t="shared" ca="1" si="98"/>
        <v>53.16221792201388</v>
      </c>
      <c r="ED22" s="8">
        <f t="shared" ca="1" si="98"/>
        <v>-40.83778207798612</v>
      </c>
      <c r="EE22" s="8">
        <f t="shared" ca="1" si="98"/>
        <v>384.16221792201389</v>
      </c>
      <c r="EF22" s="8">
        <f t="shared" ca="1" si="98"/>
        <v>557.16221792201384</v>
      </c>
      <c r="EG22" s="8">
        <f t="shared" ca="1" si="98"/>
        <v>-5.837782077986116</v>
      </c>
      <c r="EH22" s="8">
        <f t="shared" ca="1" si="98"/>
        <v>-41.83778207798612</v>
      </c>
      <c r="EI22" s="8">
        <f t="shared" ca="1" si="98"/>
        <v>49.16221792201388</v>
      </c>
      <c r="EJ22" s="8">
        <f t="shared" ca="1" si="98"/>
        <v>267.16221792201389</v>
      </c>
      <c r="EK22" s="8">
        <f t="shared" ca="1" si="98"/>
        <v>11.162217922013884</v>
      </c>
      <c r="EL22" s="8" t="str">
        <f t="shared" ca="1" si="98"/>
        <v/>
      </c>
      <c r="EM22" s="8">
        <f t="shared" ca="1" si="99"/>
        <v>14</v>
      </c>
    </row>
    <row r="23" spans="1:143" x14ac:dyDescent="0.3">
      <c r="A23" s="6">
        <v>2</v>
      </c>
      <c r="B23" s="8" t="str">
        <f t="shared" ca="1" si="100"/>
        <v>McEnroe</v>
      </c>
      <c r="DH23" s="8">
        <f t="shared" ca="1" si="97"/>
        <v>150.16221792201389</v>
      </c>
      <c r="DI23" s="8">
        <f t="shared" ca="1" si="97"/>
        <v>269.16221792201389</v>
      </c>
      <c r="DJ23" s="8">
        <f t="shared" ca="1" si="97"/>
        <v>491.16221792201389</v>
      </c>
      <c r="DK23" s="8">
        <f t="shared" ca="1" si="97"/>
        <v>450.16221792201389</v>
      </c>
      <c r="DL23" s="8">
        <f t="shared" ca="1" si="97"/>
        <v>445.16221792201389</v>
      </c>
      <c r="DM23" s="8">
        <f t="shared" ca="1" si="97"/>
        <v>239.16221792201389</v>
      </c>
      <c r="DN23" s="8">
        <f t="shared" ca="1" si="97"/>
        <v>27.162217922013891</v>
      </c>
      <c r="DO23" s="8">
        <f t="shared" ca="1" si="97"/>
        <v>435.16221792201389</v>
      </c>
      <c r="DP23" s="8">
        <f t="shared" ca="1" si="97"/>
        <v>348.16221792201389</v>
      </c>
      <c r="DQ23" s="8">
        <f t="shared" ca="1" si="97"/>
        <v>-8.8377820779861089</v>
      </c>
      <c r="DR23" s="8">
        <f t="shared" ca="1" si="97"/>
        <v>218.16221792201389</v>
      </c>
      <c r="DS23" s="8">
        <f t="shared" ca="1" si="97"/>
        <v>-23.837782077986109</v>
      </c>
      <c r="DT23" s="8">
        <f t="shared" ca="1" si="97"/>
        <v>306.16221792201389</v>
      </c>
      <c r="DU23" s="8">
        <f t="shared" ca="1" si="97"/>
        <v>-8.8377820779861089</v>
      </c>
      <c r="DV23" s="8">
        <f t="shared" ca="1" si="97"/>
        <v>0</v>
      </c>
      <c r="DW23" s="8" t="str">
        <f t="shared" ca="1" si="101"/>
        <v>McEnroe</v>
      </c>
      <c r="DX23" s="8">
        <f t="shared" ca="1" si="98"/>
        <v>150.16221792201389</v>
      </c>
      <c r="DY23" s="8">
        <f t="shared" ca="1" si="98"/>
        <v>269.16221792201389</v>
      </c>
      <c r="DZ23" s="8">
        <f t="shared" ca="1" si="98"/>
        <v>491.16221792201389</v>
      </c>
      <c r="EA23" s="8">
        <f t="shared" ca="1" si="98"/>
        <v>450.16221792201389</v>
      </c>
      <c r="EB23" s="8">
        <f t="shared" ca="1" si="98"/>
        <v>445.16221792201389</v>
      </c>
      <c r="EC23" s="8">
        <f t="shared" ca="1" si="98"/>
        <v>239.16221792201389</v>
      </c>
      <c r="ED23" s="8">
        <f t="shared" ca="1" si="98"/>
        <v>27.162217922013891</v>
      </c>
      <c r="EE23" s="8">
        <f t="shared" ca="1" si="98"/>
        <v>435.16221792201389</v>
      </c>
      <c r="EF23" s="8">
        <f t="shared" ca="1" si="98"/>
        <v>348.16221792201389</v>
      </c>
      <c r="EG23" s="8">
        <f t="shared" ca="1" si="98"/>
        <v>-8.8377820779861089</v>
      </c>
      <c r="EH23" s="8">
        <f t="shared" ca="1" si="98"/>
        <v>218.16221792201389</v>
      </c>
      <c r="EI23" s="8">
        <f t="shared" ca="1" si="98"/>
        <v>-23.837782077986109</v>
      </c>
      <c r="EJ23" s="8">
        <f t="shared" ca="1" si="98"/>
        <v>306.16221792201389</v>
      </c>
      <c r="EK23" s="8">
        <f t="shared" ca="1" si="98"/>
        <v>-8.8377820779861089</v>
      </c>
      <c r="EL23" s="8" t="str">
        <f t="shared" ca="1" si="98"/>
        <v/>
      </c>
      <c r="EM23" s="8">
        <f t="shared" ca="1" si="99"/>
        <v>14</v>
      </c>
    </row>
    <row r="24" spans="1:143" x14ac:dyDescent="0.3">
      <c r="A24" s="6">
        <v>3</v>
      </c>
      <c r="B24" s="8" t="str">
        <f t="shared" ca="1" si="100"/>
        <v>Vilas</v>
      </c>
      <c r="DH24" s="8">
        <f t="shared" ca="1" si="97"/>
        <v>-0.83778207798612314</v>
      </c>
      <c r="DI24" s="8">
        <f t="shared" ca="1" si="97"/>
        <v>-75.83778207798612</v>
      </c>
      <c r="DJ24" s="8">
        <f t="shared" ca="1" si="97"/>
        <v>39.16221792201388</v>
      </c>
      <c r="DK24" s="8">
        <f t="shared" ca="1" si="97"/>
        <v>275.16221792201389</v>
      </c>
      <c r="DL24" s="8">
        <f t="shared" ca="1" si="97"/>
        <v>228.16221792201387</v>
      </c>
      <c r="DM24" s="8">
        <f t="shared" ca="1" si="97"/>
        <v>402.16221792201389</v>
      </c>
      <c r="DN24" s="8">
        <f t="shared" ca="1" si="97"/>
        <v>94.16221792201388</v>
      </c>
      <c r="DO24" s="8">
        <f t="shared" ca="1" si="97"/>
        <v>34.16221792201388</v>
      </c>
      <c r="DP24" s="8">
        <f t="shared" ca="1" si="97"/>
        <v>32.16221792201388</v>
      </c>
      <c r="DQ24" s="8">
        <f t="shared" ca="1" si="97"/>
        <v>124.16221792201388</v>
      </c>
      <c r="DR24" s="8">
        <f t="shared" ca="1" si="97"/>
        <v>180.16221792201387</v>
      </c>
      <c r="DS24" s="8">
        <f t="shared" ca="1" si="97"/>
        <v>0</v>
      </c>
      <c r="DT24" s="8">
        <f t="shared" ca="1" si="97"/>
        <v>0</v>
      </c>
      <c r="DU24" s="8">
        <f t="shared" ca="1" si="97"/>
        <v>0</v>
      </c>
      <c r="DV24" s="8">
        <f t="shared" ca="1" si="97"/>
        <v>0</v>
      </c>
      <c r="DW24" s="8" t="str">
        <f t="shared" ca="1" si="101"/>
        <v>Vilas</v>
      </c>
      <c r="DX24" s="8">
        <f t="shared" ca="1" si="98"/>
        <v>-0.83778207798612314</v>
      </c>
      <c r="DY24" s="8">
        <f t="shared" ca="1" si="98"/>
        <v>-75.83778207798612</v>
      </c>
      <c r="DZ24" s="8">
        <f t="shared" ca="1" si="98"/>
        <v>39.16221792201388</v>
      </c>
      <c r="EA24" s="8">
        <f t="shared" ca="1" si="98"/>
        <v>275.16221792201389</v>
      </c>
      <c r="EB24" s="8">
        <f t="shared" ca="1" si="98"/>
        <v>228.16221792201387</v>
      </c>
      <c r="EC24" s="8">
        <f t="shared" ca="1" si="98"/>
        <v>402.16221792201389</v>
      </c>
      <c r="ED24" s="8">
        <f t="shared" ca="1" si="98"/>
        <v>94.16221792201388</v>
      </c>
      <c r="EE24" s="8">
        <f t="shared" ca="1" si="98"/>
        <v>34.16221792201388</v>
      </c>
      <c r="EF24" s="8">
        <f t="shared" ca="1" si="98"/>
        <v>32.16221792201388</v>
      </c>
      <c r="EG24" s="8">
        <f t="shared" ca="1" si="98"/>
        <v>124.16221792201388</v>
      </c>
      <c r="EH24" s="8">
        <f t="shared" ca="1" si="98"/>
        <v>180.16221792201387</v>
      </c>
      <c r="EI24" s="8" t="str">
        <f t="shared" ca="1" si="98"/>
        <v/>
      </c>
      <c r="EJ24" s="8" t="str">
        <f t="shared" ca="1" si="98"/>
        <v/>
      </c>
      <c r="EK24" s="8" t="str">
        <f t="shared" ca="1" si="98"/>
        <v/>
      </c>
      <c r="EL24" s="8" t="str">
        <f t="shared" ca="1" si="98"/>
        <v/>
      </c>
      <c r="EM24" s="8">
        <f t="shared" ca="1" si="99"/>
        <v>11</v>
      </c>
    </row>
    <row r="25" spans="1:143" x14ac:dyDescent="0.3">
      <c r="A25" s="6">
        <v>4</v>
      </c>
      <c r="B25" s="8" t="str">
        <f t="shared" ca="1" si="100"/>
        <v>Murray</v>
      </c>
      <c r="DH25" s="8">
        <f t="shared" ca="1" si="97"/>
        <v>-45.772117244636441</v>
      </c>
      <c r="DI25" s="8">
        <f t="shared" ca="1" si="97"/>
        <v>82.227882755363567</v>
      </c>
      <c r="DJ25" s="8">
        <f t="shared" ca="1" si="97"/>
        <v>-4.7721172446364388</v>
      </c>
      <c r="DK25" s="8">
        <f t="shared" ca="1" si="97"/>
        <v>407.22788275536357</v>
      </c>
      <c r="DL25" s="8">
        <f t="shared" ca="1" si="97"/>
        <v>-4.7721172446364388</v>
      </c>
      <c r="DM25" s="8">
        <f t="shared" ca="1" si="97"/>
        <v>-2.7721172446364388</v>
      </c>
      <c r="DN25" s="8">
        <f t="shared" ca="1" si="97"/>
        <v>253.22788275536357</v>
      </c>
      <c r="DO25" s="8">
        <f t="shared" ca="1" si="97"/>
        <v>505.22788275536357</v>
      </c>
      <c r="DP25" s="8">
        <f t="shared" ca="1" si="97"/>
        <v>151.22788275536357</v>
      </c>
      <c r="DQ25" s="8">
        <f t="shared" ca="1" si="97"/>
        <v>127.22788275536357</v>
      </c>
      <c r="DR25" s="8">
        <f t="shared" ca="1" si="97"/>
        <v>175.22788275536357</v>
      </c>
      <c r="DS25" s="8">
        <f t="shared" ca="1" si="97"/>
        <v>208.22788275536357</v>
      </c>
      <c r="DT25" s="8">
        <f t="shared" ca="1" si="97"/>
        <v>-7.7721172446364388</v>
      </c>
      <c r="DU25" s="8">
        <f t="shared" ca="1" si="97"/>
        <v>-7.7721172446364388</v>
      </c>
      <c r="DV25" s="8">
        <f t="shared" ca="1" si="97"/>
        <v>0</v>
      </c>
      <c r="DW25" s="8" t="str">
        <f t="shared" ca="1" si="101"/>
        <v>Murray</v>
      </c>
      <c r="DX25" s="8">
        <f t="shared" ca="1" si="98"/>
        <v>-45.772117244636441</v>
      </c>
      <c r="DY25" s="8">
        <f t="shared" ca="1" si="98"/>
        <v>82.227882755363567</v>
      </c>
      <c r="DZ25" s="8">
        <f t="shared" ca="1" si="98"/>
        <v>-4.7721172446364388</v>
      </c>
      <c r="EA25" s="8">
        <f t="shared" ca="1" si="98"/>
        <v>407.22788275536357</v>
      </c>
      <c r="EB25" s="8">
        <f t="shared" ca="1" si="98"/>
        <v>-4.7721172446364388</v>
      </c>
      <c r="EC25" s="8">
        <f t="shared" ca="1" si="98"/>
        <v>-2.7721172446364388</v>
      </c>
      <c r="ED25" s="8">
        <f t="shared" ca="1" si="98"/>
        <v>253.22788275536357</v>
      </c>
      <c r="EE25" s="8">
        <f t="shared" ca="1" si="98"/>
        <v>505.22788275536357</v>
      </c>
      <c r="EF25" s="8">
        <f t="shared" ca="1" si="98"/>
        <v>151.22788275536357</v>
      </c>
      <c r="EG25" s="8">
        <f t="shared" ca="1" si="98"/>
        <v>127.22788275536357</v>
      </c>
      <c r="EH25" s="8">
        <f t="shared" ca="1" si="98"/>
        <v>175.22788275536357</v>
      </c>
      <c r="EI25" s="8">
        <f t="shared" ca="1" si="98"/>
        <v>208.22788275536357</v>
      </c>
      <c r="EJ25" s="8">
        <f t="shared" ca="1" si="98"/>
        <v>-7.7721172446364388</v>
      </c>
      <c r="EK25" s="8">
        <f t="shared" ca="1" si="98"/>
        <v>-7.7721172446364388</v>
      </c>
      <c r="EL25" s="8" t="str">
        <f t="shared" ca="1" si="98"/>
        <v/>
      </c>
      <c r="EM25" s="8">
        <f t="shared" ca="1" si="99"/>
        <v>14</v>
      </c>
    </row>
    <row r="26" spans="1:143" x14ac:dyDescent="0.3">
      <c r="A26" s="6">
        <v>5</v>
      </c>
      <c r="B26" s="8" t="str">
        <f t="shared" ca="1" si="100"/>
        <v>Borg</v>
      </c>
      <c r="DH26" s="8">
        <f t="shared" ca="1" si="97"/>
        <v>107.16221792201388</v>
      </c>
      <c r="DI26" s="8">
        <f t="shared" ca="1" si="97"/>
        <v>-26.837782077986116</v>
      </c>
      <c r="DJ26" s="8">
        <f t="shared" ca="1" si="97"/>
        <v>-26.837782077986116</v>
      </c>
      <c r="DK26" s="8">
        <f t="shared" ca="1" si="97"/>
        <v>401.16221792201389</v>
      </c>
      <c r="DL26" s="8">
        <f t="shared" ca="1" si="97"/>
        <v>14.162217922013884</v>
      </c>
      <c r="DM26" s="8">
        <f t="shared" ca="1" si="97"/>
        <v>377.16221792201389</v>
      </c>
      <c r="DN26" s="8">
        <f t="shared" ca="1" si="97"/>
        <v>92.16221792201388</v>
      </c>
      <c r="DO26" s="8">
        <f t="shared" ca="1" si="97"/>
        <v>443.16221792201389</v>
      </c>
      <c r="DP26" s="8">
        <f t="shared" ca="1" si="97"/>
        <v>317.16221792201389</v>
      </c>
      <c r="DQ26" s="8">
        <f t="shared" ca="1" si="97"/>
        <v>11.162217922013884</v>
      </c>
      <c r="DR26" s="8">
        <f t="shared" ca="1" si="97"/>
        <v>11.162217922013884</v>
      </c>
      <c r="DS26" s="8">
        <f t="shared" ca="1" si="97"/>
        <v>11.162217922013884</v>
      </c>
      <c r="DT26" s="8">
        <f t="shared" ca="1" si="97"/>
        <v>11.162217922013884</v>
      </c>
      <c r="DU26" s="8">
        <f t="shared" ca="1" si="97"/>
        <v>0</v>
      </c>
      <c r="DV26" s="4">
        <f t="shared" ca="1" si="97"/>
        <v>0</v>
      </c>
      <c r="DW26" s="8" t="str">
        <f t="shared" ca="1" si="101"/>
        <v>Borg</v>
      </c>
      <c r="DX26" s="8">
        <f t="shared" ca="1" si="98"/>
        <v>107.16221792201388</v>
      </c>
      <c r="DY26" s="8">
        <f t="shared" ca="1" si="98"/>
        <v>-26.837782077986116</v>
      </c>
      <c r="DZ26" s="8">
        <f t="shared" ca="1" si="98"/>
        <v>-26.837782077986116</v>
      </c>
      <c r="EA26" s="8">
        <f t="shared" ca="1" si="98"/>
        <v>401.16221792201389</v>
      </c>
      <c r="EB26" s="8">
        <f t="shared" ca="1" si="98"/>
        <v>14.162217922013884</v>
      </c>
      <c r="EC26" s="8">
        <f t="shared" ca="1" si="98"/>
        <v>377.16221792201389</v>
      </c>
      <c r="ED26" s="8">
        <f t="shared" ca="1" si="98"/>
        <v>92.16221792201388</v>
      </c>
      <c r="EE26" s="8">
        <f t="shared" ca="1" si="98"/>
        <v>443.16221792201389</v>
      </c>
      <c r="EF26" s="8">
        <f t="shared" ca="1" si="98"/>
        <v>317.16221792201389</v>
      </c>
      <c r="EG26" s="8">
        <f t="shared" ca="1" si="98"/>
        <v>11.162217922013884</v>
      </c>
      <c r="EH26" s="8">
        <f t="shared" ca="1" si="98"/>
        <v>11.162217922013884</v>
      </c>
      <c r="EI26" s="8">
        <f t="shared" ca="1" si="98"/>
        <v>11.162217922013884</v>
      </c>
      <c r="EJ26" s="8">
        <f t="shared" ca="1" si="98"/>
        <v>11.162217922013884</v>
      </c>
      <c r="EK26" s="8" t="str">
        <f t="shared" ca="1" si="98"/>
        <v/>
      </c>
      <c r="EL26" s="8" t="str">
        <f t="shared" ca="1" si="98"/>
        <v/>
      </c>
      <c r="EM26" s="8">
        <f t="shared" ca="1" si="99"/>
        <v>13</v>
      </c>
    </row>
    <row r="27" spans="1:143" x14ac:dyDescent="0.3">
      <c r="A27" s="6">
        <v>6</v>
      </c>
      <c r="B27" s="8" t="str">
        <f t="shared" ca="1" si="100"/>
        <v>Nadal</v>
      </c>
      <c r="DH27" s="8">
        <f t="shared" ca="1" si="97"/>
        <v>9.2278827553635772</v>
      </c>
      <c r="DI27" s="8">
        <f t="shared" ca="1" si="97"/>
        <v>-8.7721172446364228</v>
      </c>
      <c r="DJ27" s="8">
        <f t="shared" ca="1" si="97"/>
        <v>-56.772117244636419</v>
      </c>
      <c r="DK27" s="8">
        <f t="shared" ca="1" si="97"/>
        <v>7.2278827553635772</v>
      </c>
      <c r="DL27" s="8">
        <f t="shared" ca="1" si="97"/>
        <v>48.227882755363581</v>
      </c>
      <c r="DM27" s="8">
        <f t="shared" ca="1" si="97"/>
        <v>147.22788275536357</v>
      </c>
      <c r="DN27" s="8">
        <f t="shared" ca="1" si="97"/>
        <v>147.22788275536357</v>
      </c>
      <c r="DO27" s="8">
        <f t="shared" ca="1" si="97"/>
        <v>522.22788275536357</v>
      </c>
      <c r="DP27" s="8">
        <f t="shared" ca="1" si="97"/>
        <v>254.22788275536357</v>
      </c>
      <c r="DQ27" s="8">
        <f t="shared" ca="1" si="97"/>
        <v>456.22788275536357</v>
      </c>
      <c r="DR27" s="8">
        <f t="shared" ca="1" si="97"/>
        <v>53.227882755363581</v>
      </c>
      <c r="DS27" s="8">
        <f t="shared" ca="1" si="97"/>
        <v>35.227882755363581</v>
      </c>
      <c r="DT27" s="8">
        <f t="shared" ca="1" si="97"/>
        <v>290.22788275536357</v>
      </c>
      <c r="DU27" s="8">
        <f t="shared" ca="1" si="97"/>
        <v>-7.7721172446364228</v>
      </c>
      <c r="DV27" s="4">
        <f t="shared" ca="1" si="97"/>
        <v>0</v>
      </c>
      <c r="DW27" s="8" t="str">
        <f t="shared" ca="1" si="101"/>
        <v>Nadal</v>
      </c>
      <c r="DX27" s="8">
        <f t="shared" ca="1" si="98"/>
        <v>9.2278827553635772</v>
      </c>
      <c r="DY27" s="8">
        <f t="shared" ca="1" si="98"/>
        <v>-8.7721172446364228</v>
      </c>
      <c r="DZ27" s="8">
        <f t="shared" ca="1" si="98"/>
        <v>-56.772117244636419</v>
      </c>
      <c r="EA27" s="8">
        <f t="shared" ca="1" si="98"/>
        <v>7.2278827553635772</v>
      </c>
      <c r="EB27" s="8">
        <f t="shared" ca="1" si="98"/>
        <v>48.227882755363581</v>
      </c>
      <c r="EC27" s="8">
        <f t="shared" ca="1" si="98"/>
        <v>147.22788275536357</v>
      </c>
      <c r="ED27" s="8">
        <f t="shared" ca="1" si="98"/>
        <v>147.22788275536357</v>
      </c>
      <c r="EE27" s="8">
        <f t="shared" ca="1" si="98"/>
        <v>522.22788275536357</v>
      </c>
      <c r="EF27" s="8">
        <f t="shared" ca="1" si="98"/>
        <v>254.22788275536357</v>
      </c>
      <c r="EG27" s="8">
        <f t="shared" ca="1" si="98"/>
        <v>456.22788275536357</v>
      </c>
      <c r="EH27" s="8">
        <f t="shared" ca="1" si="98"/>
        <v>53.227882755363581</v>
      </c>
      <c r="EI27" s="8">
        <f t="shared" ca="1" si="98"/>
        <v>35.227882755363581</v>
      </c>
      <c r="EJ27" s="8">
        <f t="shared" ca="1" si="98"/>
        <v>290.22788275536357</v>
      </c>
      <c r="EK27" s="8">
        <f t="shared" ca="1" si="98"/>
        <v>-7.7721172446364228</v>
      </c>
      <c r="EL27" s="4" t="str">
        <f t="shared" ca="1" si="98"/>
        <v/>
      </c>
      <c r="EM27" s="8">
        <f t="shared" ca="1" si="99"/>
        <v>14</v>
      </c>
    </row>
    <row r="28" spans="1:143" x14ac:dyDescent="0.3">
      <c r="A28" s="7">
        <f ca="1">RANDBETWEEN(3,4)</f>
        <v>3</v>
      </c>
      <c r="B28" s="8" t="str">
        <f ca="1">VLOOKUP(A28,$A$2:$B$18, 2, FALSE)</f>
        <v>Lendl</v>
      </c>
      <c r="DH28" s="8">
        <f t="shared" ca="1" si="97"/>
        <v>63.162217922013888</v>
      </c>
      <c r="DI28" s="8">
        <f t="shared" ca="1" si="97"/>
        <v>115.16221792201389</v>
      </c>
      <c r="DJ28" s="8">
        <f t="shared" ca="1" si="97"/>
        <v>24.162217922013888</v>
      </c>
      <c r="DK28" s="8">
        <f t="shared" ca="1" si="97"/>
        <v>395.16221792201389</v>
      </c>
      <c r="DL28" s="8">
        <f t="shared" ca="1" si="97"/>
        <v>24.162217922013888</v>
      </c>
      <c r="DM28" s="8">
        <f t="shared" ca="1" si="97"/>
        <v>389.16221792201389</v>
      </c>
      <c r="DN28" s="8">
        <f t="shared" ca="1" si="97"/>
        <v>412.16221792201389</v>
      </c>
      <c r="DO28" s="8">
        <f t="shared" ca="1" si="97"/>
        <v>547.16221792201384</v>
      </c>
      <c r="DP28" s="8">
        <f t="shared" ca="1" si="97"/>
        <v>484.16221792201389</v>
      </c>
      <c r="DQ28" s="8">
        <f t="shared" ca="1" si="97"/>
        <v>400.16221792201389</v>
      </c>
      <c r="DR28" s="8">
        <f t="shared" ca="1" si="97"/>
        <v>443.16221792201389</v>
      </c>
      <c r="DS28" s="8">
        <f t="shared" ca="1" si="97"/>
        <v>99.162217922013895</v>
      </c>
      <c r="DT28" s="8">
        <f t="shared" ca="1" si="97"/>
        <v>347.16221792201389</v>
      </c>
      <c r="DU28" s="8">
        <f t="shared" ca="1" si="97"/>
        <v>221.16221792201389</v>
      </c>
      <c r="DV28" s="4">
        <f t="shared" ca="1" si="97"/>
        <v>0</v>
      </c>
      <c r="DW28" s="8" t="str">
        <f t="shared" ca="1" si="101"/>
        <v>Lendl</v>
      </c>
      <c r="DX28" s="8">
        <f t="shared" ca="1" si="98"/>
        <v>63.162217922013888</v>
      </c>
      <c r="DY28" s="8">
        <f t="shared" ca="1" si="98"/>
        <v>115.16221792201389</v>
      </c>
      <c r="DZ28" s="8">
        <f t="shared" ca="1" si="98"/>
        <v>24.162217922013888</v>
      </c>
      <c r="EA28" s="8">
        <f t="shared" ca="1" si="98"/>
        <v>395.16221792201389</v>
      </c>
      <c r="EB28" s="8">
        <f t="shared" ca="1" si="98"/>
        <v>24.162217922013888</v>
      </c>
      <c r="EC28" s="8">
        <f t="shared" ca="1" si="98"/>
        <v>389.16221792201389</v>
      </c>
      <c r="ED28" s="8">
        <f t="shared" ca="1" si="98"/>
        <v>412.16221792201389</v>
      </c>
      <c r="EE28" s="8">
        <f t="shared" ca="1" si="98"/>
        <v>547.16221792201384</v>
      </c>
      <c r="EF28" s="8">
        <f t="shared" ca="1" si="98"/>
        <v>484.16221792201389</v>
      </c>
      <c r="EG28" s="8">
        <f t="shared" ca="1" si="98"/>
        <v>400.16221792201389</v>
      </c>
      <c r="EH28" s="8">
        <f t="shared" ca="1" si="98"/>
        <v>443.16221792201389</v>
      </c>
      <c r="EI28" s="8">
        <f t="shared" ca="1" si="98"/>
        <v>99.162217922013895</v>
      </c>
      <c r="EJ28" s="8">
        <f t="shared" ca="1" si="98"/>
        <v>347.16221792201389</v>
      </c>
      <c r="EK28" s="8">
        <f t="shared" ca="1" si="98"/>
        <v>221.16221792201389</v>
      </c>
      <c r="EL28" s="8" t="str">
        <f t="shared" ca="1" si="98"/>
        <v/>
      </c>
      <c r="EM28" s="8">
        <f t="shared" ca="1" si="99"/>
        <v>14</v>
      </c>
    </row>
    <row r="29" spans="1:143" x14ac:dyDescent="0.3">
      <c r="A29" s="7">
        <f ca="1">IF(A28=3, 4, 3)</f>
        <v>4</v>
      </c>
      <c r="B29" s="8" t="str">
        <f ca="1">VLOOKUP(A29,$A$2:$B$18, 2, FALSE)</f>
        <v>Sampras</v>
      </c>
      <c r="DH29" s="8">
        <f t="shared" ca="1" si="97"/>
        <v>-60.022513058753461</v>
      </c>
      <c r="DI29" s="8">
        <f t="shared" ca="1" si="97"/>
        <v>165.97748694124655</v>
      </c>
      <c r="DJ29" s="8">
        <f t="shared" ca="1" si="97"/>
        <v>511.97748694124653</v>
      </c>
      <c r="DK29" s="8">
        <f t="shared" ca="1" si="97"/>
        <v>134.97748694124655</v>
      </c>
      <c r="DL29" s="8">
        <f t="shared" ca="1" si="97"/>
        <v>305.97748694124653</v>
      </c>
      <c r="DM29" s="8">
        <f t="shared" ca="1" si="97"/>
        <v>305.97748694124653</v>
      </c>
      <c r="DN29" s="8">
        <f t="shared" ca="1" si="97"/>
        <v>33.977486941246539</v>
      </c>
      <c r="DO29" s="8">
        <f t="shared" ca="1" si="97"/>
        <v>442.97748694124653</v>
      </c>
      <c r="DP29" s="8">
        <f t="shared" ca="1" si="97"/>
        <v>475.97748694124653</v>
      </c>
      <c r="DQ29" s="8">
        <f t="shared" ca="1" si="97"/>
        <v>14.977486941246543</v>
      </c>
      <c r="DR29" s="8">
        <f t="shared" ca="1" si="97"/>
        <v>187.97748694124655</v>
      </c>
      <c r="DS29" s="8">
        <f t="shared" ca="1" si="97"/>
        <v>272.97748694124653</v>
      </c>
      <c r="DT29" s="8">
        <f t="shared" ca="1" si="97"/>
        <v>404.97748694124653</v>
      </c>
      <c r="DU29" s="8">
        <f t="shared" ca="1" si="97"/>
        <v>520.97748694124653</v>
      </c>
      <c r="DV29" s="8">
        <f t="shared" ca="1" si="97"/>
        <v>0</v>
      </c>
      <c r="DW29" s="8" t="str">
        <f t="shared" ca="1" si="101"/>
        <v>Sampras</v>
      </c>
      <c r="DX29" s="8">
        <f t="shared" ca="1" si="98"/>
        <v>-60.022513058753461</v>
      </c>
      <c r="DY29" s="8">
        <f t="shared" ca="1" si="98"/>
        <v>165.97748694124655</v>
      </c>
      <c r="DZ29" s="8">
        <f t="shared" ca="1" si="98"/>
        <v>511.97748694124653</v>
      </c>
      <c r="EA29" s="8">
        <f t="shared" ca="1" si="98"/>
        <v>134.97748694124655</v>
      </c>
      <c r="EB29" s="8">
        <f t="shared" ca="1" si="98"/>
        <v>305.97748694124653</v>
      </c>
      <c r="EC29" s="8">
        <f t="shared" ca="1" si="98"/>
        <v>305.97748694124653</v>
      </c>
      <c r="ED29" s="8">
        <f t="shared" ca="1" si="98"/>
        <v>33.977486941246539</v>
      </c>
      <c r="EE29" s="8">
        <f t="shared" ca="1" si="98"/>
        <v>442.97748694124653</v>
      </c>
      <c r="EF29" s="8">
        <f t="shared" ca="1" si="98"/>
        <v>475.97748694124653</v>
      </c>
      <c r="EG29" s="8">
        <f t="shared" ca="1" si="98"/>
        <v>14.977486941246543</v>
      </c>
      <c r="EH29" s="8">
        <f t="shared" ca="1" si="98"/>
        <v>187.97748694124655</v>
      </c>
      <c r="EI29" s="8">
        <f t="shared" ca="1" si="98"/>
        <v>272.97748694124653</v>
      </c>
      <c r="EJ29" s="8">
        <f t="shared" ca="1" si="98"/>
        <v>404.97748694124653</v>
      </c>
      <c r="EK29" s="8">
        <f t="shared" ca="1" si="98"/>
        <v>520.97748694124653</v>
      </c>
      <c r="EL29" s="8" t="str">
        <f t="shared" ca="1" si="98"/>
        <v/>
      </c>
      <c r="EM29" s="8">
        <f t="shared" ca="1" si="99"/>
        <v>14</v>
      </c>
    </row>
    <row r="30" spans="1:143" x14ac:dyDescent="0.3">
      <c r="A30" s="6">
        <v>7</v>
      </c>
      <c r="B30" s="8" t="str">
        <f t="shared" ref="B30:B35" ca="1" si="102">VLOOKUP(A30,$E$2:$F$18, 2, FALSE)</f>
        <v>Djokovic</v>
      </c>
      <c r="DH30" s="8">
        <f t="shared" ca="1" si="97"/>
        <v>79.227882755363581</v>
      </c>
      <c r="DI30" s="8">
        <f t="shared" ca="1" si="97"/>
        <v>18.227882755363581</v>
      </c>
      <c r="DJ30" s="8">
        <f t="shared" ca="1" si="97"/>
        <v>375.22788275536357</v>
      </c>
      <c r="DK30" s="8">
        <f t="shared" ca="1" si="97"/>
        <v>279.22788275536357</v>
      </c>
      <c r="DL30" s="8">
        <f t="shared" ca="1" si="97"/>
        <v>229.22788275536357</v>
      </c>
      <c r="DM30" s="8">
        <f t="shared" ca="1" si="97"/>
        <v>385.22788275536357</v>
      </c>
      <c r="DN30" s="8">
        <f t="shared" ca="1" si="97"/>
        <v>483.22788275536357</v>
      </c>
      <c r="DO30" s="8">
        <f t="shared" ca="1" si="97"/>
        <v>391.22788275536357</v>
      </c>
      <c r="DP30" s="8">
        <f t="shared" ca="1" si="97"/>
        <v>266.22788275536357</v>
      </c>
      <c r="DQ30" s="8">
        <f t="shared" ca="1" si="97"/>
        <v>255.22788275536357</v>
      </c>
      <c r="DR30" s="8">
        <f t="shared" ca="1" si="97"/>
        <v>0</v>
      </c>
      <c r="DS30" s="8">
        <f t="shared" ca="1" si="97"/>
        <v>0</v>
      </c>
      <c r="DT30" s="8">
        <f t="shared" ca="1" si="97"/>
        <v>0</v>
      </c>
      <c r="DU30" s="8">
        <f t="shared" ca="1" si="97"/>
        <v>0</v>
      </c>
      <c r="DV30" s="8">
        <f t="shared" ca="1" si="97"/>
        <v>0</v>
      </c>
      <c r="DW30" s="8" t="str">
        <f t="shared" ca="1" si="101"/>
        <v>Djokovic</v>
      </c>
      <c r="DX30" s="8">
        <f t="shared" ca="1" si="98"/>
        <v>79.227882755363581</v>
      </c>
      <c r="DY30" s="8">
        <f t="shared" ca="1" si="98"/>
        <v>18.227882755363581</v>
      </c>
      <c r="DZ30" s="8">
        <f t="shared" ca="1" si="98"/>
        <v>375.22788275536357</v>
      </c>
      <c r="EA30" s="8">
        <f t="shared" ca="1" si="98"/>
        <v>279.22788275536357</v>
      </c>
      <c r="EB30" s="8">
        <f t="shared" ca="1" si="98"/>
        <v>229.22788275536357</v>
      </c>
      <c r="EC30" s="8">
        <f t="shared" ca="1" si="98"/>
        <v>385.22788275536357</v>
      </c>
      <c r="ED30" s="8">
        <f t="shared" ca="1" si="98"/>
        <v>483.22788275536357</v>
      </c>
      <c r="EE30" s="8">
        <f t="shared" ca="1" si="98"/>
        <v>391.22788275536357</v>
      </c>
      <c r="EF30" s="8">
        <f t="shared" ca="1" si="98"/>
        <v>266.22788275536357</v>
      </c>
      <c r="EG30" s="8">
        <f t="shared" ca="1" si="98"/>
        <v>255.22788275536357</v>
      </c>
      <c r="EH30" s="8" t="str">
        <f t="shared" ca="1" si="98"/>
        <v/>
      </c>
      <c r="EI30" s="8" t="str">
        <f t="shared" ca="1" si="98"/>
        <v/>
      </c>
      <c r="EJ30" s="8" t="str">
        <f t="shared" ca="1" si="98"/>
        <v/>
      </c>
      <c r="EK30" s="8" t="str">
        <f t="shared" ca="1" si="98"/>
        <v/>
      </c>
      <c r="EL30" s="8" t="str">
        <f t="shared" ca="1" si="98"/>
        <v/>
      </c>
      <c r="EM30" s="8">
        <f t="shared" ca="1" si="99"/>
        <v>10</v>
      </c>
    </row>
    <row r="31" spans="1:143" x14ac:dyDescent="0.3">
      <c r="A31" s="6">
        <v>8</v>
      </c>
      <c r="B31" s="8" t="str">
        <f t="shared" ca="1" si="102"/>
        <v>Becker</v>
      </c>
      <c r="DH31" s="8">
        <f t="shared" ca="1" si="97"/>
        <v>6.1622179220138928</v>
      </c>
      <c r="DI31" s="8">
        <f t="shared" ca="1" si="97"/>
        <v>127.16221792201389</v>
      </c>
      <c r="DJ31" s="8">
        <f t="shared" ca="1" si="97"/>
        <v>49.162217922013895</v>
      </c>
      <c r="DK31" s="8">
        <f t="shared" ca="1" si="97"/>
        <v>-6.8377820779861072</v>
      </c>
      <c r="DL31" s="8">
        <f t="shared" ca="1" si="97"/>
        <v>512.16221792201384</v>
      </c>
      <c r="DM31" s="8">
        <f t="shared" ca="1" si="97"/>
        <v>332.16221792201389</v>
      </c>
      <c r="DN31" s="8">
        <f t="shared" ca="1" si="97"/>
        <v>106.16221792201389</v>
      </c>
      <c r="DO31" s="8">
        <f t="shared" ca="1" si="97"/>
        <v>95.162217922013895</v>
      </c>
      <c r="DP31" s="8">
        <f t="shared" ca="1" si="97"/>
        <v>59.162217922013895</v>
      </c>
      <c r="DQ31" s="8">
        <f t="shared" ca="1" si="97"/>
        <v>-36.837782077986105</v>
      </c>
      <c r="DR31" s="8">
        <f t="shared" ca="1" si="97"/>
        <v>178.16221792201389</v>
      </c>
      <c r="DS31" s="8">
        <f t="shared" ca="1" si="97"/>
        <v>11.162217922013893</v>
      </c>
      <c r="DT31" s="8">
        <f t="shared" ca="1" si="97"/>
        <v>11.162217922013893</v>
      </c>
      <c r="DU31" s="8">
        <f t="shared" ca="1" si="97"/>
        <v>11.162217922013893</v>
      </c>
      <c r="DV31" s="8">
        <f t="shared" ca="1" si="97"/>
        <v>0</v>
      </c>
      <c r="DW31" s="8" t="str">
        <f t="shared" ca="1" si="101"/>
        <v>Becker</v>
      </c>
      <c r="DX31" s="8">
        <f t="shared" ca="1" si="98"/>
        <v>6.1622179220138928</v>
      </c>
      <c r="DY31" s="8">
        <f t="shared" ca="1" si="98"/>
        <v>127.16221792201389</v>
      </c>
      <c r="DZ31" s="8">
        <f t="shared" ca="1" si="98"/>
        <v>49.162217922013895</v>
      </c>
      <c r="EA31" s="8">
        <f t="shared" ca="1" si="98"/>
        <v>-6.8377820779861072</v>
      </c>
      <c r="EB31" s="8">
        <f t="shared" ca="1" si="98"/>
        <v>512.16221792201384</v>
      </c>
      <c r="EC31" s="8">
        <f t="shared" ca="1" si="98"/>
        <v>332.16221792201389</v>
      </c>
      <c r="ED31" s="8">
        <f t="shared" ca="1" si="98"/>
        <v>106.16221792201389</v>
      </c>
      <c r="EE31" s="8">
        <f t="shared" ca="1" si="98"/>
        <v>95.162217922013895</v>
      </c>
      <c r="EF31" s="8">
        <f t="shared" ca="1" si="98"/>
        <v>59.162217922013895</v>
      </c>
      <c r="EG31" s="8">
        <f t="shared" ca="1" si="98"/>
        <v>-36.837782077986105</v>
      </c>
      <c r="EH31" s="8">
        <f t="shared" ca="1" si="98"/>
        <v>178.16221792201389</v>
      </c>
      <c r="EI31" s="8">
        <f t="shared" ca="1" si="98"/>
        <v>11.162217922013893</v>
      </c>
      <c r="EJ31" s="8">
        <f t="shared" ca="1" si="98"/>
        <v>11.162217922013893</v>
      </c>
      <c r="EK31" s="8">
        <f t="shared" ca="1" si="98"/>
        <v>11.162217922013893</v>
      </c>
      <c r="EL31" s="8" t="str">
        <f t="shared" ca="1" si="98"/>
        <v/>
      </c>
      <c r="EM31" s="8">
        <f t="shared" ca="1" si="99"/>
        <v>14</v>
      </c>
    </row>
    <row r="32" spans="1:143" x14ac:dyDescent="0.3">
      <c r="A32" s="6">
        <v>9</v>
      </c>
      <c r="B32" s="8" t="str">
        <f t="shared" ca="1" si="102"/>
        <v>Courier</v>
      </c>
      <c r="DH32" s="8">
        <f t="shared" ca="1" si="97"/>
        <v>14.162217922013886</v>
      </c>
      <c r="DI32" s="8">
        <f t="shared" ca="1" si="97"/>
        <v>80.16221792201388</v>
      </c>
      <c r="DJ32" s="8">
        <f t="shared" ca="1" si="97"/>
        <v>16.162217922013888</v>
      </c>
      <c r="DK32" s="8">
        <f t="shared" ca="1" si="97"/>
        <v>363.16221792201389</v>
      </c>
      <c r="DL32" s="8">
        <f t="shared" ca="1" si="97"/>
        <v>305.16221792201389</v>
      </c>
      <c r="DM32" s="8">
        <f t="shared" ca="1" si="97"/>
        <v>69.16221792201388</v>
      </c>
      <c r="DN32" s="8">
        <f t="shared" ca="1" si="97"/>
        <v>305.16221792201389</v>
      </c>
      <c r="DO32" s="8">
        <f t="shared" ca="1" si="97"/>
        <v>324.16221792201389</v>
      </c>
      <c r="DP32" s="8">
        <f t="shared" ca="1" si="97"/>
        <v>-50.837782077986112</v>
      </c>
      <c r="DQ32" s="8">
        <f t="shared" ca="1" si="97"/>
        <v>-83.83778207798612</v>
      </c>
      <c r="DR32" s="8">
        <f t="shared" ca="1" si="97"/>
        <v>11.162217922013886</v>
      </c>
      <c r="DS32" s="8">
        <f t="shared" ca="1" si="97"/>
        <v>0</v>
      </c>
      <c r="DT32" s="8">
        <f t="shared" ca="1" si="97"/>
        <v>0</v>
      </c>
      <c r="DU32" s="8">
        <f t="shared" ca="1" si="97"/>
        <v>0</v>
      </c>
      <c r="DV32" s="8">
        <f t="shared" ca="1" si="97"/>
        <v>0</v>
      </c>
      <c r="DW32" s="8" t="str">
        <f t="shared" ca="1" si="101"/>
        <v>Courier</v>
      </c>
      <c r="DX32" s="8">
        <f t="shared" ca="1" si="98"/>
        <v>14.162217922013886</v>
      </c>
      <c r="DY32" s="8">
        <f t="shared" ca="1" si="98"/>
        <v>80.16221792201388</v>
      </c>
      <c r="DZ32" s="8">
        <f t="shared" ca="1" si="98"/>
        <v>16.162217922013888</v>
      </c>
      <c r="EA32" s="8">
        <f t="shared" ca="1" si="98"/>
        <v>363.16221792201389</v>
      </c>
      <c r="EB32" s="8">
        <f t="shared" ca="1" si="98"/>
        <v>305.16221792201389</v>
      </c>
      <c r="EC32" s="8">
        <f t="shared" ca="1" si="98"/>
        <v>69.16221792201388</v>
      </c>
      <c r="ED32" s="8">
        <f t="shared" ca="1" si="98"/>
        <v>305.16221792201389</v>
      </c>
      <c r="EE32" s="8">
        <f t="shared" ca="1" si="98"/>
        <v>324.16221792201389</v>
      </c>
      <c r="EF32" s="8">
        <f t="shared" ca="1" si="98"/>
        <v>-50.837782077986112</v>
      </c>
      <c r="EG32" s="8">
        <f t="shared" ca="1" si="98"/>
        <v>-83.83778207798612</v>
      </c>
      <c r="EH32" s="8">
        <f t="shared" ca="1" si="98"/>
        <v>11.162217922013886</v>
      </c>
      <c r="EI32" s="8" t="str">
        <f t="shared" ca="1" si="98"/>
        <v/>
      </c>
      <c r="EJ32" s="8" t="str">
        <f t="shared" ca="1" si="98"/>
        <v/>
      </c>
      <c r="EK32" s="8" t="str">
        <f t="shared" ca="1" si="98"/>
        <v/>
      </c>
      <c r="EL32" s="8" t="str">
        <f t="shared" ca="1" si="98"/>
        <v/>
      </c>
      <c r="EM32" s="8">
        <f t="shared" ca="1" si="99"/>
        <v>11</v>
      </c>
    </row>
    <row r="33" spans="1:143" x14ac:dyDescent="0.3">
      <c r="A33" s="6">
        <v>10</v>
      </c>
      <c r="B33" s="8" t="str">
        <f t="shared" ca="1" si="102"/>
        <v>Agassi</v>
      </c>
      <c r="DH33" s="8">
        <f t="shared" ca="1" si="97"/>
        <v>205.88543599032445</v>
      </c>
      <c r="DI33" s="8">
        <f t="shared" ca="1" si="97"/>
        <v>115.88543599032444</v>
      </c>
      <c r="DJ33" s="8">
        <f t="shared" ca="1" si="97"/>
        <v>384.88543599032442</v>
      </c>
      <c r="DK33" s="8">
        <f t="shared" ca="1" si="97"/>
        <v>191.88543599032445</v>
      </c>
      <c r="DL33" s="8">
        <f t="shared" ca="1" si="97"/>
        <v>513.88543599032448</v>
      </c>
      <c r="DM33" s="8">
        <f t="shared" ca="1" si="97"/>
        <v>365.88543599032442</v>
      </c>
      <c r="DN33" s="8">
        <f t="shared" ca="1" si="97"/>
        <v>194.88543599032445</v>
      </c>
      <c r="DO33" s="8">
        <f t="shared" ca="1" si="97"/>
        <v>51.885435990324439</v>
      </c>
      <c r="DP33" s="8">
        <f t="shared" ca="1" si="97"/>
        <v>126.88543599032444</v>
      </c>
      <c r="DQ33" s="8">
        <f t="shared" ca="1" si="97"/>
        <v>309.88543599032442</v>
      </c>
      <c r="DR33" s="8">
        <f t="shared" ca="1" si="97"/>
        <v>108.88543599032444</v>
      </c>
      <c r="DS33" s="8">
        <f t="shared" ca="1" si="97"/>
        <v>231.88543599032445</v>
      </c>
      <c r="DT33" s="8">
        <f t="shared" ca="1" si="97"/>
        <v>0</v>
      </c>
      <c r="DU33" s="8">
        <f t="shared" ca="1" si="97"/>
        <v>0</v>
      </c>
      <c r="DV33" s="8">
        <f t="shared" ca="1" si="97"/>
        <v>0</v>
      </c>
      <c r="DW33" s="8" t="str">
        <f t="shared" ca="1" si="101"/>
        <v>Agassi</v>
      </c>
      <c r="DX33" s="8">
        <f t="shared" ca="1" si="98"/>
        <v>205.88543599032445</v>
      </c>
      <c r="DY33" s="8">
        <f t="shared" ca="1" si="98"/>
        <v>115.88543599032444</v>
      </c>
      <c r="DZ33" s="8">
        <f t="shared" ca="1" si="98"/>
        <v>384.88543599032442</v>
      </c>
      <c r="EA33" s="8">
        <f t="shared" ca="1" si="98"/>
        <v>191.88543599032445</v>
      </c>
      <c r="EB33" s="8">
        <f t="shared" ca="1" si="98"/>
        <v>513.88543599032448</v>
      </c>
      <c r="EC33" s="8">
        <f t="shared" ca="1" si="98"/>
        <v>365.88543599032442</v>
      </c>
      <c r="ED33" s="8">
        <f t="shared" ca="1" si="98"/>
        <v>194.88543599032445</v>
      </c>
      <c r="EE33" s="8">
        <f t="shared" ca="1" si="98"/>
        <v>51.885435990324439</v>
      </c>
      <c r="EF33" s="8">
        <f t="shared" ca="1" si="98"/>
        <v>126.88543599032444</v>
      </c>
      <c r="EG33" s="8">
        <f t="shared" ca="1" si="98"/>
        <v>309.88543599032442</v>
      </c>
      <c r="EH33" s="8">
        <f t="shared" ca="1" si="98"/>
        <v>108.88543599032444</v>
      </c>
      <c r="EI33" s="8">
        <f t="shared" ca="1" si="98"/>
        <v>231.88543599032445</v>
      </c>
      <c r="EJ33" s="8" t="str">
        <f t="shared" ca="1" si="98"/>
        <v/>
      </c>
      <c r="EK33" s="8" t="str">
        <f t="shared" ca="1" si="98"/>
        <v/>
      </c>
      <c r="EL33" s="8" t="str">
        <f t="shared" ca="1" si="98"/>
        <v/>
      </c>
      <c r="EM33" s="8">
        <f t="shared" ca="1" si="99"/>
        <v>12</v>
      </c>
    </row>
    <row r="34" spans="1:143" x14ac:dyDescent="0.3">
      <c r="A34" s="6">
        <v>11</v>
      </c>
      <c r="B34" s="8" t="str">
        <f t="shared" ca="1" si="102"/>
        <v>Wilander</v>
      </c>
      <c r="DH34" s="8">
        <f t="shared" ca="1" si="97"/>
        <v>126.16221792201389</v>
      </c>
      <c r="DI34" s="8">
        <f t="shared" ca="1" si="97"/>
        <v>190.16221792201389</v>
      </c>
      <c r="DJ34" s="8">
        <f t="shared" ca="1" si="97"/>
        <v>165.16221792201389</v>
      </c>
      <c r="DK34" s="8">
        <f t="shared" ca="1" si="97"/>
        <v>315.16221792201389</v>
      </c>
      <c r="DL34" s="8">
        <f t="shared" ca="1" si="97"/>
        <v>84.162217922013895</v>
      </c>
      <c r="DM34" s="8">
        <f t="shared" ca="1" si="97"/>
        <v>237.16221792201389</v>
      </c>
      <c r="DN34" s="8">
        <f t="shared" ca="1" si="97"/>
        <v>515.16221792201384</v>
      </c>
      <c r="DO34" s="8">
        <f t="shared" ca="1" si="97"/>
        <v>-8.8377820779861107</v>
      </c>
      <c r="DP34" s="8">
        <f t="shared" ca="1" si="97"/>
        <v>3.1622179220138893</v>
      </c>
      <c r="DQ34" s="8">
        <f t="shared" ca="1" si="97"/>
        <v>89.162217922013895</v>
      </c>
      <c r="DR34" s="8">
        <f t="shared" ca="1" si="97"/>
        <v>-87.837782077986105</v>
      </c>
      <c r="DS34" s="8">
        <f t="shared" ca="1" si="97"/>
        <v>-2.8377820779861107</v>
      </c>
      <c r="DT34" s="8">
        <f t="shared" ca="1" si="97"/>
        <v>11.162217922013889</v>
      </c>
      <c r="DU34" s="8">
        <f t="shared" ca="1" si="97"/>
        <v>0</v>
      </c>
      <c r="DV34" s="8">
        <f t="shared" ca="1" si="97"/>
        <v>0</v>
      </c>
      <c r="DW34" s="8" t="str">
        <f t="shared" ca="1" si="101"/>
        <v>Wilander</v>
      </c>
      <c r="DX34" s="8">
        <f t="shared" ca="1" si="98"/>
        <v>126.16221792201389</v>
      </c>
      <c r="DY34" s="8">
        <f t="shared" ca="1" si="98"/>
        <v>190.16221792201389</v>
      </c>
      <c r="DZ34" s="8">
        <f t="shared" ca="1" si="98"/>
        <v>165.16221792201389</v>
      </c>
      <c r="EA34" s="8">
        <f t="shared" ca="1" si="98"/>
        <v>315.16221792201389</v>
      </c>
      <c r="EB34" s="8">
        <f t="shared" ca="1" si="98"/>
        <v>84.162217922013895</v>
      </c>
      <c r="EC34" s="8">
        <f t="shared" ca="1" si="98"/>
        <v>237.16221792201389</v>
      </c>
      <c r="ED34" s="8">
        <f t="shared" ca="1" si="98"/>
        <v>515.16221792201384</v>
      </c>
      <c r="EE34" s="8">
        <f t="shared" ca="1" si="98"/>
        <v>-8.8377820779861107</v>
      </c>
      <c r="EF34" s="8">
        <f t="shared" ca="1" si="98"/>
        <v>3.1622179220138893</v>
      </c>
      <c r="EG34" s="8">
        <f t="shared" ca="1" si="98"/>
        <v>89.162217922013895</v>
      </c>
      <c r="EH34" s="8">
        <f t="shared" ca="1" si="98"/>
        <v>-87.837782077986105</v>
      </c>
      <c r="EI34" s="8">
        <f t="shared" ca="1" si="98"/>
        <v>-2.8377820779861107</v>
      </c>
      <c r="EJ34" s="8">
        <f t="shared" ca="1" si="98"/>
        <v>11.162217922013889</v>
      </c>
      <c r="EK34" s="8" t="str">
        <f t="shared" ca="1" si="98"/>
        <v/>
      </c>
      <c r="EL34" s="8" t="str">
        <f t="shared" ca="1" si="98"/>
        <v/>
      </c>
      <c r="EM34" s="8">
        <f t="shared" ca="1" si="99"/>
        <v>13</v>
      </c>
    </row>
    <row r="35" spans="1:143" x14ac:dyDescent="0.3">
      <c r="A35" s="6">
        <v>12</v>
      </c>
      <c r="B35" s="8" t="str">
        <f t="shared" ca="1" si="102"/>
        <v>Wawrinka</v>
      </c>
      <c r="DH35" s="8">
        <f t="shared" ca="1" si="97"/>
        <v>25.227882755363577</v>
      </c>
      <c r="DI35" s="8">
        <f t="shared" ca="1" si="97"/>
        <v>121.22788275536358</v>
      </c>
      <c r="DJ35" s="8">
        <f t="shared" ca="1" si="97"/>
        <v>102.22788275536358</v>
      </c>
      <c r="DK35" s="8">
        <f t="shared" ca="1" si="97"/>
        <v>41.227882755363581</v>
      </c>
      <c r="DL35" s="8">
        <f t="shared" ca="1" si="97"/>
        <v>-106.77211724463642</v>
      </c>
      <c r="DM35" s="8">
        <f t="shared" ca="1" si="97"/>
        <v>230.22788275536357</v>
      </c>
      <c r="DN35" s="8">
        <f t="shared" ca="1" si="97"/>
        <v>-105.77211724463642</v>
      </c>
      <c r="DO35" s="8">
        <f t="shared" ca="1" si="97"/>
        <v>104.22788275536358</v>
      </c>
      <c r="DP35" s="8">
        <f t="shared" ca="1" si="97"/>
        <v>293.22788275536357</v>
      </c>
      <c r="DQ35" s="8">
        <f t="shared" ca="1" si="97"/>
        <v>118.22788275536358</v>
      </c>
      <c r="DR35" s="8">
        <f t="shared" ca="1" si="97"/>
        <v>0</v>
      </c>
      <c r="DS35" s="8">
        <f t="shared" ca="1" si="97"/>
        <v>0</v>
      </c>
      <c r="DT35" s="8">
        <f t="shared" ca="1" si="97"/>
        <v>0</v>
      </c>
      <c r="DU35" s="8">
        <f t="shared" ca="1" si="97"/>
        <v>0</v>
      </c>
      <c r="DV35" s="8">
        <f t="shared" ca="1" si="97"/>
        <v>0</v>
      </c>
      <c r="DW35" s="8" t="str">
        <f t="shared" ca="1" si="101"/>
        <v>Wawrinka</v>
      </c>
      <c r="DX35" s="8">
        <f t="shared" ca="1" si="98"/>
        <v>25.227882755363577</v>
      </c>
      <c r="DY35" s="8">
        <f t="shared" ca="1" si="98"/>
        <v>121.22788275536358</v>
      </c>
      <c r="DZ35" s="8">
        <f t="shared" ca="1" si="98"/>
        <v>102.22788275536358</v>
      </c>
      <c r="EA35" s="8">
        <f t="shared" ca="1" si="98"/>
        <v>41.227882755363581</v>
      </c>
      <c r="EB35" s="8">
        <f t="shared" ca="1" si="98"/>
        <v>-106.77211724463642</v>
      </c>
      <c r="EC35" s="8">
        <f t="shared" ca="1" si="98"/>
        <v>230.22788275536357</v>
      </c>
      <c r="ED35" s="8">
        <f t="shared" ca="1" si="98"/>
        <v>-105.77211724463642</v>
      </c>
      <c r="EE35" s="8">
        <f t="shared" ca="1" si="98"/>
        <v>104.22788275536358</v>
      </c>
      <c r="EF35" s="8">
        <f t="shared" ca="1" si="98"/>
        <v>293.22788275536357</v>
      </c>
      <c r="EG35" s="8">
        <f t="shared" ca="1" si="98"/>
        <v>118.22788275536358</v>
      </c>
      <c r="EH35" s="8" t="str">
        <f t="shared" ca="1" si="98"/>
        <v/>
      </c>
      <c r="EI35" s="8" t="str">
        <f t="shared" ca="1" si="98"/>
        <v/>
      </c>
      <c r="EJ35" s="8" t="str">
        <f t="shared" ca="1" si="98"/>
        <v/>
      </c>
      <c r="EK35" s="8" t="str">
        <f t="shared" ca="1" si="98"/>
        <v/>
      </c>
      <c r="EL35" s="8" t="str">
        <f t="shared" ca="1" si="98"/>
        <v/>
      </c>
      <c r="EM35" s="8">
        <f t="shared" ca="1" si="99"/>
        <v>10</v>
      </c>
    </row>
    <row r="36" spans="1:143" x14ac:dyDescent="0.3">
      <c r="A36" s="8">
        <v>2</v>
      </c>
      <c r="B36" s="8" t="str">
        <f>VLOOKUP(A36,$A$2:$B$18, 2, FALSE)</f>
        <v>Federer</v>
      </c>
      <c r="DH36" s="8">
        <f t="shared" si="97"/>
        <v>97.302878390064976</v>
      </c>
      <c r="DI36" s="8">
        <f t="shared" si="97"/>
        <v>77.302878390064976</v>
      </c>
      <c r="DJ36" s="8">
        <f t="shared" si="97"/>
        <v>539.30287839006496</v>
      </c>
      <c r="DK36" s="8">
        <f t="shared" si="97"/>
        <v>505.30287839006496</v>
      </c>
      <c r="DL36" s="8">
        <f t="shared" si="97"/>
        <v>399.30287839006496</v>
      </c>
      <c r="DM36" s="8">
        <f t="shared" si="97"/>
        <v>399.30287839006496</v>
      </c>
      <c r="DN36" s="8">
        <f t="shared" si="97"/>
        <v>387.30287839006496</v>
      </c>
      <c r="DO36" s="8">
        <f t="shared" si="97"/>
        <v>395.30287839006496</v>
      </c>
      <c r="DP36" s="8">
        <f t="shared" si="97"/>
        <v>199.30287839006499</v>
      </c>
      <c r="DQ36" s="8">
        <f t="shared" si="97"/>
        <v>292.30287839006496</v>
      </c>
      <c r="DR36" s="8">
        <f t="shared" si="97"/>
        <v>109.30287839006498</v>
      </c>
      <c r="DS36" s="8">
        <f t="shared" si="97"/>
        <v>102.30287839006498</v>
      </c>
      <c r="DT36" s="8">
        <f t="shared" si="97"/>
        <v>246.30287839006499</v>
      </c>
      <c r="DU36" s="8">
        <f t="shared" si="97"/>
        <v>246.30287839006499</v>
      </c>
      <c r="DV36" s="8">
        <f t="shared" si="97"/>
        <v>464.30287839006496</v>
      </c>
      <c r="DW36" s="8" t="str">
        <f t="shared" si="101"/>
        <v>Federer</v>
      </c>
      <c r="DX36" s="8">
        <f t="shared" si="98"/>
        <v>97.302878390064976</v>
      </c>
      <c r="DY36" s="8">
        <f t="shared" si="98"/>
        <v>77.302878390064976</v>
      </c>
      <c r="DZ36" s="8">
        <f t="shared" si="98"/>
        <v>539.30287839006496</v>
      </c>
      <c r="EA36" s="8">
        <f t="shared" si="98"/>
        <v>505.30287839006496</v>
      </c>
      <c r="EB36" s="8">
        <f t="shared" si="98"/>
        <v>399.30287839006496</v>
      </c>
      <c r="EC36" s="8">
        <f t="shared" si="98"/>
        <v>399.30287839006496</v>
      </c>
      <c r="ED36" s="8">
        <f t="shared" si="98"/>
        <v>387.30287839006496</v>
      </c>
      <c r="EE36" s="8">
        <f t="shared" si="98"/>
        <v>395.30287839006496</v>
      </c>
      <c r="EF36" s="8">
        <f t="shared" si="98"/>
        <v>199.30287839006499</v>
      </c>
      <c r="EG36" s="8">
        <f t="shared" si="98"/>
        <v>292.30287839006496</v>
      </c>
      <c r="EH36" s="8">
        <f t="shared" si="98"/>
        <v>109.30287839006498</v>
      </c>
      <c r="EI36" s="8">
        <f t="shared" si="98"/>
        <v>102.30287839006498</v>
      </c>
      <c r="EJ36" s="8">
        <f t="shared" si="98"/>
        <v>246.30287839006499</v>
      </c>
      <c r="EK36" s="8">
        <f t="shared" si="98"/>
        <v>246.30287839006499</v>
      </c>
      <c r="EL36" s="8">
        <f t="shared" si="98"/>
        <v>464.30287839006496</v>
      </c>
      <c r="EM36" s="8">
        <f t="shared" si="99"/>
        <v>15</v>
      </c>
    </row>
  </sheetData>
  <mergeCells count="2">
    <mergeCell ref="A1:B1"/>
    <mergeCell ref="A6:B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O20"/>
  <sheetViews>
    <sheetView tabSelected="1" topLeftCell="B1" workbookViewId="0">
      <selection activeCell="Y3" sqref="Y3:AO3"/>
    </sheetView>
  </sheetViews>
  <sheetFormatPr defaultColWidth="10.796875" defaultRowHeight="15.6" x14ac:dyDescent="0.3"/>
  <cols>
    <col min="1" max="1" width="7.19921875" style="8" hidden="1" customWidth="1"/>
    <col min="2" max="2" width="2.296875" style="8" customWidth="1"/>
    <col min="3" max="3" width="10.796875" style="8"/>
    <col min="4" max="7" width="10.796875" style="8" hidden="1" customWidth="1"/>
    <col min="8" max="8" width="10.796875" style="8"/>
    <col min="9" max="12" width="10.796875" style="8" hidden="1" customWidth="1"/>
    <col min="13" max="13" width="10.796875" style="8"/>
    <col min="14" max="17" width="10.796875" style="8" hidden="1" customWidth="1"/>
    <col min="18" max="18" width="10.796875" style="8"/>
    <col min="19" max="22" width="10.796875" style="8" hidden="1" customWidth="1"/>
    <col min="23" max="24" width="10.796875" style="8"/>
    <col min="25" max="25" width="6.796875" style="8" customWidth="1"/>
    <col min="26" max="26" width="7.5" style="8" customWidth="1"/>
    <col min="27" max="27" width="5.796875" style="8" customWidth="1"/>
    <col min="28" max="28" width="5.69921875" style="8" customWidth="1"/>
    <col min="29" max="29" width="6.296875" style="8" customWidth="1"/>
    <col min="30" max="30" width="6.796875" style="8" customWidth="1"/>
    <col min="31" max="35" width="8.69921875" style="8" customWidth="1"/>
    <col min="36" max="36" width="5.296875" style="8" customWidth="1"/>
    <col min="37" max="37" width="7" style="8" customWidth="1"/>
    <col min="38" max="38" width="8" style="8" customWidth="1"/>
    <col min="39" max="39" width="7.69921875" style="8" customWidth="1"/>
    <col min="40" max="40" width="5.796875" style="8" customWidth="1"/>
    <col min="41" max="41" width="6.796875" style="8" customWidth="1"/>
    <col min="42" max="16384" width="10.796875" style="8"/>
  </cols>
  <sheetData>
    <row r="1" spans="1:41" x14ac:dyDescent="0.3">
      <c r="A1" s="8" t="s">
        <v>2</v>
      </c>
      <c r="D1" s="8" t="s">
        <v>3</v>
      </c>
      <c r="Y1" s="8" t="str">
        <f t="array" ref="Y1:AB1">TRANSPOSE('Australian Open'!B2:B5)</f>
        <v>Federer</v>
      </c>
      <c r="Z1" s="8" t="str">
        <v>Djokovic</v>
      </c>
      <c r="AA1" s="8" t="str">
        <v>Nadal</v>
      </c>
      <c r="AB1" s="8" t="str">
        <v>Agassi</v>
      </c>
      <c r="AC1" s="8" t="str">
        <f t="array" ref="AC1:AN1">TRANSPOSE('Australian Open'!B7:B18)</f>
        <v>Lendl</v>
      </c>
      <c r="AD1" s="8" t="str">
        <v>Murray</v>
      </c>
      <c r="AE1" s="8" t="str">
        <v>Edberg</v>
      </c>
      <c r="AF1" s="8" t="str">
        <v>Sampras</v>
      </c>
      <c r="AG1" s="8" t="str">
        <v>Wilander</v>
      </c>
      <c r="AH1" s="8" t="str">
        <v>Courier</v>
      </c>
      <c r="AI1" s="8" t="str">
        <v>Wawrinka</v>
      </c>
      <c r="AJ1" s="8" t="str">
        <v>Vilas</v>
      </c>
      <c r="AK1" s="8" t="str">
        <v>Becker</v>
      </c>
      <c r="AL1" s="8" t="str">
        <v>McEnroe</v>
      </c>
      <c r="AM1" s="8" t="str">
        <v>Connors</v>
      </c>
      <c r="AN1" s="8" t="str">
        <v>Borg</v>
      </c>
      <c r="AO1" s="8" t="s">
        <v>21</v>
      </c>
    </row>
    <row r="2" spans="1:41" x14ac:dyDescent="0.3">
      <c r="Y2" s="8">
        <f t="shared" ref="Y2:AO2" ca="1" si="0">IF(Y1=$X$14,1,0)</f>
        <v>0</v>
      </c>
      <c r="Z2" s="8">
        <f t="shared" ca="1" si="0"/>
        <v>0</v>
      </c>
      <c r="AA2" s="8">
        <f t="shared" ca="1" si="0"/>
        <v>0</v>
      </c>
      <c r="AB2" s="8">
        <f t="shared" ca="1" si="0"/>
        <v>0</v>
      </c>
      <c r="AC2" s="8">
        <f t="shared" ca="1" si="0"/>
        <v>0</v>
      </c>
      <c r="AD2" s="8">
        <f t="shared" ca="1" si="0"/>
        <v>0</v>
      </c>
      <c r="AE2" s="8">
        <f t="shared" ca="1" si="0"/>
        <v>0</v>
      </c>
      <c r="AF2" s="8">
        <f t="shared" ca="1" si="0"/>
        <v>0</v>
      </c>
      <c r="AG2" s="8">
        <f t="shared" ca="1" si="0"/>
        <v>0</v>
      </c>
      <c r="AH2" s="8">
        <f t="shared" ca="1" si="0"/>
        <v>0</v>
      </c>
      <c r="AI2" s="8">
        <f t="shared" ca="1" si="0"/>
        <v>0</v>
      </c>
      <c r="AJ2" s="8">
        <f t="shared" ca="1" si="0"/>
        <v>0</v>
      </c>
      <c r="AK2" s="8">
        <f t="shared" ca="1" si="0"/>
        <v>0</v>
      </c>
      <c r="AL2" s="8">
        <f t="shared" ca="1" si="0"/>
        <v>0</v>
      </c>
      <c r="AM2" s="8">
        <f t="shared" ca="1" si="0"/>
        <v>1</v>
      </c>
      <c r="AN2" s="8">
        <f t="shared" ca="1" si="0"/>
        <v>0</v>
      </c>
      <c r="AO2" s="8">
        <f t="shared" ca="1" si="0"/>
        <v>0</v>
      </c>
    </row>
    <row r="3" spans="1:41" x14ac:dyDescent="0.3">
      <c r="Y3" s="8">
        <v>341</v>
      </c>
      <c r="Z3" s="8">
        <v>196</v>
      </c>
      <c r="AA3" s="8">
        <v>18</v>
      </c>
      <c r="AB3" s="8">
        <v>115</v>
      </c>
      <c r="AC3" s="8">
        <v>293</v>
      </c>
      <c r="AD3" s="8">
        <v>21</v>
      </c>
      <c r="AE3" s="8">
        <v>24</v>
      </c>
      <c r="AF3" s="8">
        <v>220</v>
      </c>
      <c r="AG3" s="8">
        <v>14</v>
      </c>
      <c r="AH3" s="8">
        <v>14</v>
      </c>
      <c r="AI3" s="8">
        <v>11</v>
      </c>
      <c r="AJ3" s="8">
        <v>10</v>
      </c>
      <c r="AK3" s="8">
        <v>7</v>
      </c>
      <c r="AL3" s="8">
        <v>104</v>
      </c>
      <c r="AM3" s="8">
        <v>590</v>
      </c>
      <c r="AN3" s="8">
        <v>21</v>
      </c>
      <c r="AO3" s="8">
        <v>0</v>
      </c>
    </row>
    <row r="4" spans="1:41" x14ac:dyDescent="0.3">
      <c r="X4" s="8">
        <f ca="1">SUM(Y4:AN4)</f>
        <v>2000</v>
      </c>
      <c r="Y4" s="8">
        <f ca="1">Y2+Y3</f>
        <v>341</v>
      </c>
      <c r="Z4" s="8">
        <f t="shared" ref="Z4:AO4" ca="1" si="1">Z2+Z3</f>
        <v>196</v>
      </c>
      <c r="AA4" s="8">
        <f t="shared" ca="1" si="1"/>
        <v>18</v>
      </c>
      <c r="AB4" s="8">
        <f t="shared" ca="1" si="1"/>
        <v>115</v>
      </c>
      <c r="AC4" s="8">
        <f t="shared" ca="1" si="1"/>
        <v>293</v>
      </c>
      <c r="AD4" s="8">
        <f t="shared" ca="1" si="1"/>
        <v>21</v>
      </c>
      <c r="AE4" s="8">
        <f t="shared" ca="1" si="1"/>
        <v>24</v>
      </c>
      <c r="AF4" s="8">
        <f t="shared" ca="1" si="1"/>
        <v>220</v>
      </c>
      <c r="AG4" s="8">
        <f t="shared" ca="1" si="1"/>
        <v>14</v>
      </c>
      <c r="AH4" s="8">
        <f t="shared" ca="1" si="1"/>
        <v>14</v>
      </c>
      <c r="AI4" s="8">
        <f t="shared" ca="1" si="1"/>
        <v>11</v>
      </c>
      <c r="AJ4" s="8">
        <f t="shared" ca="1" si="1"/>
        <v>10</v>
      </c>
      <c r="AK4" s="8">
        <f t="shared" ca="1" si="1"/>
        <v>7</v>
      </c>
      <c r="AL4" s="8">
        <f t="shared" ca="1" si="1"/>
        <v>104</v>
      </c>
      <c r="AM4" s="8">
        <f t="shared" ca="1" si="1"/>
        <v>591</v>
      </c>
      <c r="AN4" s="8">
        <f t="shared" ca="1" si="1"/>
        <v>21</v>
      </c>
      <c r="AO4" s="8">
        <f t="shared" ca="1" si="1"/>
        <v>0</v>
      </c>
    </row>
    <row r="5" spans="1:41" x14ac:dyDescent="0.3">
      <c r="A5" s="8">
        <v>2</v>
      </c>
      <c r="B5" s="8">
        <f>'US Open'!A21</f>
        <v>1</v>
      </c>
      <c r="C5" s="8" t="str">
        <f>'US Open'!B21</f>
        <v>Connors</v>
      </c>
      <c r="D5" s="8">
        <f>A5</f>
        <v>2</v>
      </c>
      <c r="E5" s="8">
        <f ca="1">RANDBETWEEN(1,F5)</f>
        <v>2</v>
      </c>
      <c r="F5" s="8">
        <f>VLOOKUP(C5,'US Open'!DW21:EM36, 17, FALSE)</f>
        <v>15</v>
      </c>
      <c r="G5" s="4">
        <f ca="1">HLOOKUP(E5, 'US Open'!$DX$20:$EL$36,$A5, FALSE)</f>
        <v>568.16221792201384</v>
      </c>
      <c r="Y5" s="9">
        <f ca="1">Y4/$X$4</f>
        <v>0.17050000000000001</v>
      </c>
      <c r="Z5" s="9">
        <f t="shared" ref="Z5:AO5" ca="1" si="2">Z4/$X$4</f>
        <v>9.8000000000000004E-2</v>
      </c>
      <c r="AA5" s="9">
        <f t="shared" ca="1" si="2"/>
        <v>8.9999999999999993E-3</v>
      </c>
      <c r="AB5" s="9">
        <f t="shared" ca="1" si="2"/>
        <v>5.7500000000000002E-2</v>
      </c>
      <c r="AC5" s="9">
        <f t="shared" ca="1" si="2"/>
        <v>0.14649999999999999</v>
      </c>
      <c r="AD5" s="9">
        <f t="shared" ca="1" si="2"/>
        <v>1.0500000000000001E-2</v>
      </c>
      <c r="AE5" s="9">
        <f t="shared" ca="1" si="2"/>
        <v>1.2E-2</v>
      </c>
      <c r="AF5" s="9">
        <f t="shared" ca="1" si="2"/>
        <v>0.11</v>
      </c>
      <c r="AG5" s="9">
        <f t="shared" ca="1" si="2"/>
        <v>7.0000000000000001E-3</v>
      </c>
      <c r="AH5" s="9">
        <f t="shared" ca="1" si="2"/>
        <v>7.0000000000000001E-3</v>
      </c>
      <c r="AI5" s="9">
        <f t="shared" ca="1" si="2"/>
        <v>5.4999999999999997E-3</v>
      </c>
      <c r="AJ5" s="9">
        <f t="shared" ca="1" si="2"/>
        <v>5.0000000000000001E-3</v>
      </c>
      <c r="AK5" s="9">
        <f t="shared" ca="1" si="2"/>
        <v>3.5000000000000001E-3</v>
      </c>
      <c r="AL5" s="9">
        <f t="shared" ca="1" si="2"/>
        <v>5.1999999999999998E-2</v>
      </c>
      <c r="AM5" s="9">
        <f t="shared" ca="1" si="2"/>
        <v>0.29549999999999998</v>
      </c>
      <c r="AN5" s="9">
        <f t="shared" ca="1" si="2"/>
        <v>1.0500000000000001E-2</v>
      </c>
      <c r="AO5" s="9">
        <f t="shared" ca="1" si="2"/>
        <v>0</v>
      </c>
    </row>
    <row r="6" spans="1:41" x14ac:dyDescent="0.3">
      <c r="A6" s="8">
        <v>3</v>
      </c>
      <c r="B6" s="6">
        <f>'US Open'!A22</f>
        <v>1</v>
      </c>
      <c r="C6" s="8" t="str">
        <f ca="1">'US Open'!B22</f>
        <v>Edberg</v>
      </c>
      <c r="D6" s="8">
        <f t="shared" ref="D6:D20" si="3">A6</f>
        <v>3</v>
      </c>
      <c r="E6" s="8">
        <f t="shared" ref="E6:E20" ca="1" si="4">RANDBETWEEN(1,F6)</f>
        <v>11</v>
      </c>
      <c r="F6" s="8">
        <f ca="1">VLOOKUP(C6,'US Open'!DW22:EM37, 17, FALSE)</f>
        <v>14</v>
      </c>
      <c r="G6" s="4">
        <f ca="1">HLOOKUP(E6, 'US Open'!$DX$20:$EL$36,$A6, FALSE)</f>
        <v>-41.83778207798612</v>
      </c>
      <c r="H6" s="8" t="str">
        <f ca="1">IF(G5&gt;G6, C5, C6)</f>
        <v>Connors</v>
      </c>
      <c r="I6" s="8">
        <f ca="1">VLOOKUP(H6, $C$5:$D$20, 2, FALSE)</f>
        <v>2</v>
      </c>
      <c r="J6" s="8">
        <f ca="1">RANDBETWEEN(1,K6)</f>
        <v>5</v>
      </c>
      <c r="K6" s="8">
        <f ca="1">VLOOKUP(H6, $C$5:$F$20, 4, FALSE)</f>
        <v>15</v>
      </c>
      <c r="L6" s="4">
        <f ca="1">HLOOKUP(J6, 'US Open'!$DX$20:$EL$36,I6, FALSE)</f>
        <v>374.16221792201389</v>
      </c>
    </row>
    <row r="7" spans="1:41" x14ac:dyDescent="0.3">
      <c r="A7" s="8">
        <v>4</v>
      </c>
      <c r="B7" s="6">
        <f>'US Open'!A23</f>
        <v>2</v>
      </c>
      <c r="C7" s="8" t="str">
        <f ca="1">'US Open'!B23</f>
        <v>McEnroe</v>
      </c>
      <c r="D7" s="8">
        <f t="shared" si="3"/>
        <v>4</v>
      </c>
      <c r="E7" s="8">
        <f t="shared" ca="1" si="4"/>
        <v>14</v>
      </c>
      <c r="F7" s="8">
        <f ca="1">VLOOKUP(C7,'US Open'!DW23:EM38, 17, FALSE)</f>
        <v>14</v>
      </c>
      <c r="G7" s="4">
        <f ca="1">HLOOKUP(E7, 'US Open'!$DX$20:$EL$36,$A7, FALSE)</f>
        <v>-8.8377820779861089</v>
      </c>
      <c r="H7" s="8" t="str">
        <f ca="1">IF(G7&gt;G8, C7, C8)</f>
        <v>Vilas</v>
      </c>
      <c r="I7" s="8">
        <f ca="1">VLOOKUP(H7, $C$5:$D$20, 2, FALSE)</f>
        <v>5</v>
      </c>
      <c r="J7" s="8">
        <f ca="1">RANDBETWEEN(1,K7)</f>
        <v>5</v>
      </c>
      <c r="K7" s="8">
        <f ca="1">VLOOKUP(H7, $C$5:$F$20, 4, FALSE)</f>
        <v>11</v>
      </c>
      <c r="L7" s="4">
        <f ca="1">HLOOKUP(J7, 'US Open'!$DX$20:$EL$36,I7, FALSE)</f>
        <v>228.16221792201387</v>
      </c>
      <c r="Y7" s="9">
        <v>0.17299999999999999</v>
      </c>
      <c r="Z7" s="9">
        <v>0.1</v>
      </c>
      <c r="AA7" s="9">
        <v>1.0999999999999999E-2</v>
      </c>
      <c r="AB7" s="9">
        <v>0.06</v>
      </c>
      <c r="AC7" s="9">
        <v>0.13900000000000001</v>
      </c>
      <c r="AD7" s="9">
        <v>6.0000000000000001E-3</v>
      </c>
      <c r="AE7" s="9">
        <v>5.0000000000000001E-3</v>
      </c>
      <c r="AF7" s="9">
        <v>0.10299999999999999</v>
      </c>
      <c r="AG7" s="9">
        <v>8.0000000000000002E-3</v>
      </c>
      <c r="AH7" s="9">
        <v>6.0000000000000001E-3</v>
      </c>
      <c r="AI7" s="9">
        <v>6.0000000000000001E-3</v>
      </c>
      <c r="AJ7" s="9">
        <v>5.0000000000000001E-3</v>
      </c>
      <c r="AK7" s="9">
        <v>2E-3</v>
      </c>
      <c r="AL7" s="9">
        <v>4.3999999999999997E-2</v>
      </c>
      <c r="AM7" s="9">
        <v>0.317</v>
      </c>
      <c r="AN7" s="9">
        <v>1.4999999999999999E-2</v>
      </c>
      <c r="AO7" s="9">
        <v>0</v>
      </c>
    </row>
    <row r="8" spans="1:41" x14ac:dyDescent="0.3">
      <c r="A8" s="8">
        <v>5</v>
      </c>
      <c r="B8" s="6">
        <f>'US Open'!A24</f>
        <v>3</v>
      </c>
      <c r="C8" s="8" t="str">
        <f ca="1">'US Open'!B24</f>
        <v>Vilas</v>
      </c>
      <c r="D8" s="8">
        <f t="shared" si="3"/>
        <v>5</v>
      </c>
      <c r="E8" s="8">
        <f t="shared" ca="1" si="4"/>
        <v>4</v>
      </c>
      <c r="F8" s="8">
        <f ca="1">VLOOKUP(C8,'US Open'!DW24:EM39, 17, FALSE)</f>
        <v>11</v>
      </c>
      <c r="G8" s="4">
        <f ca="1">HLOOKUP(E8, 'US Open'!$DX$20:$EL$36,$A8, FALSE)</f>
        <v>275.16221792201389</v>
      </c>
      <c r="M8" s="8" t="str">
        <f ca="1">IF(L6&gt;L7, H6, H7)</f>
        <v>Connors</v>
      </c>
      <c r="N8" s="8">
        <f ca="1">VLOOKUP(M8, $H$6:$I$19, 2, FALSE)</f>
        <v>2</v>
      </c>
      <c r="O8" s="8">
        <f ca="1">RANDBETWEEN(1,P8)</f>
        <v>6</v>
      </c>
      <c r="P8" s="8">
        <f ca="1">VLOOKUP(M8, $H$6:$L$19, 4, FALSE)</f>
        <v>15</v>
      </c>
      <c r="Q8" s="4">
        <f ca="1">HLOOKUP(O8, 'US Open'!$DX$20:$EL$36,N8, FALSE)</f>
        <v>503.16221792201389</v>
      </c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</row>
    <row r="9" spans="1:41" x14ac:dyDescent="0.3">
      <c r="A9" s="8">
        <v>6</v>
      </c>
      <c r="B9" s="6">
        <f>'US Open'!A25</f>
        <v>4</v>
      </c>
      <c r="C9" s="8" t="str">
        <f ca="1">'US Open'!B25</f>
        <v>Murray</v>
      </c>
      <c r="D9" s="8">
        <f t="shared" si="3"/>
        <v>6</v>
      </c>
      <c r="E9" s="8">
        <f t="shared" ca="1" si="4"/>
        <v>11</v>
      </c>
      <c r="F9" s="8">
        <f ca="1">VLOOKUP(C9,'US Open'!DW25:EM40, 17, FALSE)</f>
        <v>14</v>
      </c>
      <c r="G9" s="4">
        <f ca="1">HLOOKUP(E9, 'US Open'!$DX$20:$EL$36,$A9, FALSE)</f>
        <v>175.22788275536357</v>
      </c>
      <c r="M9" s="8" t="str">
        <f ca="1">IF(L10&gt;L11, H10, H11)</f>
        <v>Lendl</v>
      </c>
      <c r="N9" s="8">
        <f ca="1">VLOOKUP(M9, $H$6:$I$19, 2, FALSE)</f>
        <v>9</v>
      </c>
      <c r="O9" s="8">
        <f ca="1">RANDBETWEEN(1,P9)</f>
        <v>6</v>
      </c>
      <c r="P9" s="8">
        <f ca="1">VLOOKUP(M9, $H$6:$L$19, 4, FALSE)</f>
        <v>14</v>
      </c>
      <c r="Q9" s="4">
        <f ca="1">HLOOKUP(O9, 'US Open'!$DX$20:$EL$36,N9, FALSE)</f>
        <v>389.16221792201389</v>
      </c>
    </row>
    <row r="10" spans="1:41" x14ac:dyDescent="0.3">
      <c r="A10" s="8">
        <v>7</v>
      </c>
      <c r="B10" s="6">
        <f>'US Open'!A26</f>
        <v>5</v>
      </c>
      <c r="C10" s="8" t="str">
        <f ca="1">'US Open'!B26</f>
        <v>Borg</v>
      </c>
      <c r="D10" s="8">
        <f t="shared" si="3"/>
        <v>7</v>
      </c>
      <c r="E10" s="8">
        <f t="shared" ca="1" si="4"/>
        <v>10</v>
      </c>
      <c r="F10" s="8">
        <f ca="1">VLOOKUP(C10,'US Open'!DW26:EM41, 17, FALSE)</f>
        <v>13</v>
      </c>
      <c r="G10" s="4">
        <f ca="1">HLOOKUP(E10, 'US Open'!$DX$20:$EL$36,$A10, FALSE)</f>
        <v>11.162217922013884</v>
      </c>
      <c r="H10" s="8" t="str">
        <f ca="1">IF(G9&gt;G10, C9, C10)</f>
        <v>Murray</v>
      </c>
      <c r="I10" s="8">
        <f ca="1">VLOOKUP(H10, $C$5:$D$20, 2, FALSE)</f>
        <v>6</v>
      </c>
      <c r="J10" s="8">
        <f ca="1">RANDBETWEEN(1,K10)</f>
        <v>2</v>
      </c>
      <c r="K10" s="8">
        <f ca="1">VLOOKUP(H10, $C$5:$F$20, 4, FALSE)</f>
        <v>14</v>
      </c>
      <c r="L10" s="4">
        <f ca="1">HLOOKUP(J10, 'US Open'!$DX$20:$EL$36,I10, FALSE)</f>
        <v>82.227882755363567</v>
      </c>
    </row>
    <row r="11" spans="1:41" x14ac:dyDescent="0.3">
      <c r="A11" s="8">
        <v>8</v>
      </c>
      <c r="B11" s="6">
        <f>'US Open'!A27</f>
        <v>6</v>
      </c>
      <c r="C11" s="8" t="str">
        <f ca="1">'US Open'!B27</f>
        <v>Nadal</v>
      </c>
      <c r="D11" s="8">
        <f t="shared" si="3"/>
        <v>8</v>
      </c>
      <c r="E11" s="8">
        <f t="shared" ca="1" si="4"/>
        <v>11</v>
      </c>
      <c r="F11" s="8">
        <f ca="1">VLOOKUP(C11,'US Open'!DW27:EM42, 17, FALSE)</f>
        <v>14</v>
      </c>
      <c r="G11" s="4">
        <f ca="1">HLOOKUP(E11, 'US Open'!$DX$20:$EL$36,$A11, FALSE)</f>
        <v>53.227882755363581</v>
      </c>
      <c r="H11" s="8" t="str">
        <f ca="1">IF(G11&gt;G12, C11, C12)</f>
        <v>Lendl</v>
      </c>
      <c r="I11" s="8">
        <f ca="1">VLOOKUP(H11, $C$5:$D$20, 2, FALSE)</f>
        <v>9</v>
      </c>
      <c r="J11" s="8">
        <f ca="1">RANDBETWEEN(1,K11)</f>
        <v>9</v>
      </c>
      <c r="K11" s="8">
        <f ca="1">VLOOKUP(H11, $C$5:$F$20, 4, FALSE)</f>
        <v>14</v>
      </c>
      <c r="L11" s="4">
        <f ca="1">HLOOKUP(J11, 'US Open'!$DX$20:$EL$36,I11, FALSE)</f>
        <v>484.16221792201389</v>
      </c>
    </row>
    <row r="12" spans="1:41" x14ac:dyDescent="0.3">
      <c r="A12" s="8">
        <v>9</v>
      </c>
      <c r="B12" s="8">
        <f ca="1">'US Open'!A28</f>
        <v>3</v>
      </c>
      <c r="C12" s="8" t="str">
        <f ca="1">'US Open'!B28</f>
        <v>Lendl</v>
      </c>
      <c r="D12" s="8">
        <f t="shared" si="3"/>
        <v>9</v>
      </c>
      <c r="E12" s="8">
        <f t="shared" ca="1" si="4"/>
        <v>8</v>
      </c>
      <c r="F12" s="8">
        <f ca="1">VLOOKUP(C12,'US Open'!DW28:EM43, 17, FALSE)</f>
        <v>14</v>
      </c>
      <c r="G12" s="4">
        <f ca="1">HLOOKUP(E12, 'US Open'!$DX$20:$EL$36,$A12, FALSE)</f>
        <v>547.16221792201384</v>
      </c>
      <c r="R12" s="8" t="str">
        <f ca="1">IF(Q8&gt;Q9, M8, M9)</f>
        <v>Connors</v>
      </c>
      <c r="S12" s="8">
        <f ca="1">VLOOKUP(R12, $M$8:$N$17, 2, FALSE)</f>
        <v>2</v>
      </c>
      <c r="T12" s="8">
        <f ca="1">RANDBETWEEN(1,U12)</f>
        <v>5</v>
      </c>
      <c r="U12" s="8">
        <f ca="1">VLOOKUP(R12, $M$8:$Q$17, 4, FALSE)</f>
        <v>15</v>
      </c>
      <c r="V12" s="4">
        <f ca="1">HLOOKUP(T12, 'US Open'!$DX$20:$EL$36,S12, FALSE)</f>
        <v>374.16221792201389</v>
      </c>
    </row>
    <row r="13" spans="1:41" x14ac:dyDescent="0.3">
      <c r="A13" s="8">
        <v>10</v>
      </c>
      <c r="B13" s="8">
        <f ca="1">'US Open'!A29</f>
        <v>4</v>
      </c>
      <c r="C13" s="8" t="str">
        <f ca="1">'US Open'!B29</f>
        <v>Sampras</v>
      </c>
      <c r="D13" s="8">
        <f t="shared" si="3"/>
        <v>10</v>
      </c>
      <c r="E13" s="8">
        <f t="shared" ca="1" si="4"/>
        <v>3</v>
      </c>
      <c r="F13" s="8">
        <f ca="1">VLOOKUP(C13,'US Open'!DW29:EM44, 17, FALSE)</f>
        <v>14</v>
      </c>
      <c r="G13" s="4">
        <f ca="1">HLOOKUP(E13, 'US Open'!$DX$20:$EL$36,$A13, FALSE)</f>
        <v>511.97748694124653</v>
      </c>
      <c r="R13" s="8" t="str">
        <f ca="1">IF(Q16&gt;Q17, M16, M17)</f>
        <v>Agassi</v>
      </c>
      <c r="S13" s="8">
        <f ca="1">VLOOKUP(R13, $M$8:$N$17, 2, FALSE)</f>
        <v>14</v>
      </c>
      <c r="T13" s="8">
        <f ca="1">RANDBETWEEN(1,U13)</f>
        <v>4</v>
      </c>
      <c r="U13" s="8">
        <f ca="1">VLOOKUP(R13, $M$8:$Q$17, 4, FALSE)</f>
        <v>12</v>
      </c>
      <c r="V13" s="4">
        <f ca="1">HLOOKUP(T13, 'US Open'!$DX$20:$EL$36,S13, FALSE)</f>
        <v>191.88543599032445</v>
      </c>
    </row>
    <row r="14" spans="1:41" x14ac:dyDescent="0.3">
      <c r="A14" s="8">
        <v>11</v>
      </c>
      <c r="B14" s="6">
        <f>'US Open'!A30</f>
        <v>7</v>
      </c>
      <c r="C14" s="8" t="str">
        <f ca="1">'US Open'!B30</f>
        <v>Djokovic</v>
      </c>
      <c r="D14" s="8">
        <f t="shared" si="3"/>
        <v>11</v>
      </c>
      <c r="E14" s="8">
        <f t="shared" ca="1" si="4"/>
        <v>1</v>
      </c>
      <c r="F14" s="8">
        <f ca="1">VLOOKUP(C14,'US Open'!DW30:EM45, 17, FALSE)</f>
        <v>10</v>
      </c>
      <c r="G14" s="4">
        <f ca="1">HLOOKUP(E14, 'US Open'!$DX$20:$EL$36,$A14, FALSE)</f>
        <v>79.227882755363581</v>
      </c>
      <c r="H14" s="8" t="str">
        <f ca="1">IF(G13&gt;G14, C13, C14)</f>
        <v>Sampras</v>
      </c>
      <c r="I14" s="8">
        <f ca="1">VLOOKUP(H14, $C$5:$D$20, 2, FALSE)</f>
        <v>10</v>
      </c>
      <c r="J14" s="8">
        <f ca="1">RANDBETWEEN(1,K14)</f>
        <v>3</v>
      </c>
      <c r="K14" s="8">
        <f ca="1">VLOOKUP(H14, $C$5:$F$20, 4, FALSE)</f>
        <v>14</v>
      </c>
      <c r="L14" s="4">
        <f ca="1">HLOOKUP(J14, 'US Open'!$DX$20:$EL$36,I14, FALSE)</f>
        <v>511.97748694124653</v>
      </c>
      <c r="W14" s="8" t="s">
        <v>4</v>
      </c>
      <c r="X14" s="8" t="str">
        <f ca="1">IF(V12&gt;V13,R12,R13)</f>
        <v>Connors</v>
      </c>
    </row>
    <row r="15" spans="1:41" x14ac:dyDescent="0.3">
      <c r="A15" s="8">
        <v>12</v>
      </c>
      <c r="B15" s="6">
        <f>'US Open'!A31</f>
        <v>8</v>
      </c>
      <c r="C15" s="8" t="str">
        <f ca="1">'US Open'!B31</f>
        <v>Becker</v>
      </c>
      <c r="D15" s="8">
        <f t="shared" si="3"/>
        <v>12</v>
      </c>
      <c r="E15" s="8">
        <f t="shared" ca="1" si="4"/>
        <v>14</v>
      </c>
      <c r="F15" s="8">
        <f ca="1">VLOOKUP(C15,'US Open'!DW31:EM46, 17, FALSE)</f>
        <v>14</v>
      </c>
      <c r="G15" s="4">
        <f ca="1">HLOOKUP(E15, 'US Open'!$DX$20:$EL$36,$A15, FALSE)</f>
        <v>11.162217922013893</v>
      </c>
      <c r="H15" s="8" t="str">
        <f ca="1">IF(G15&gt;G16, C15, C16)</f>
        <v>Courier</v>
      </c>
      <c r="I15" s="8">
        <f ca="1">VLOOKUP(H15, $C$5:$D$20, 2, FALSE)</f>
        <v>13</v>
      </c>
      <c r="J15" s="8">
        <f ca="1">RANDBETWEEN(1,K15)</f>
        <v>5</v>
      </c>
      <c r="K15" s="8">
        <f ca="1">VLOOKUP(H15, $C$5:$F$20, 4, FALSE)</f>
        <v>11</v>
      </c>
      <c r="L15" s="4">
        <f ca="1">HLOOKUP(J15, 'US Open'!$DX$20:$EL$36,I15, FALSE)</f>
        <v>305.16221792201389</v>
      </c>
    </row>
    <row r="16" spans="1:41" x14ac:dyDescent="0.3">
      <c r="A16" s="8">
        <v>13</v>
      </c>
      <c r="B16" s="6">
        <f>'US Open'!A32</f>
        <v>9</v>
      </c>
      <c r="C16" s="8" t="str">
        <f ca="1">'US Open'!B32</f>
        <v>Courier</v>
      </c>
      <c r="D16" s="8">
        <f t="shared" si="3"/>
        <v>13</v>
      </c>
      <c r="E16" s="8">
        <f t="shared" ca="1" si="4"/>
        <v>6</v>
      </c>
      <c r="F16" s="8">
        <f ca="1">VLOOKUP(C16,'US Open'!DW32:EM47, 17, FALSE)</f>
        <v>11</v>
      </c>
      <c r="G16" s="4">
        <f ca="1">HLOOKUP(E16, 'US Open'!$DX$20:$EL$36,$A16, FALSE)</f>
        <v>69.16221792201388</v>
      </c>
      <c r="M16" s="8" t="str">
        <f ca="1">IF(L14&gt;L15, H14, H15)</f>
        <v>Sampras</v>
      </c>
      <c r="N16" s="8">
        <f ca="1">VLOOKUP(M16, $H$6:$I$19, 2, FALSE)</f>
        <v>10</v>
      </c>
      <c r="O16" s="8">
        <f ca="1">RANDBETWEEN(1,P16)</f>
        <v>11</v>
      </c>
      <c r="P16" s="8">
        <f ca="1">VLOOKUP(M16, $H$6:$L$19, 4, FALSE)</f>
        <v>14</v>
      </c>
      <c r="Q16" s="4">
        <f ca="1">HLOOKUP(O16, 'US Open'!$DX$20:$EL$36,N16, FALSE)</f>
        <v>187.97748694124655</v>
      </c>
    </row>
    <row r="17" spans="1:17" x14ac:dyDescent="0.3">
      <c r="A17" s="8">
        <v>14</v>
      </c>
      <c r="B17" s="6">
        <f>'US Open'!A33</f>
        <v>10</v>
      </c>
      <c r="C17" s="8" t="str">
        <f ca="1">'US Open'!B33</f>
        <v>Agassi</v>
      </c>
      <c r="D17" s="8">
        <f t="shared" si="3"/>
        <v>14</v>
      </c>
      <c r="E17" s="8">
        <f t="shared" ca="1" si="4"/>
        <v>5</v>
      </c>
      <c r="F17" s="8">
        <f ca="1">VLOOKUP(C17,'US Open'!DW33:EM48, 17, FALSE)</f>
        <v>12</v>
      </c>
      <c r="G17" s="4">
        <f ca="1">HLOOKUP(E17, 'US Open'!$DX$20:$EL$36,$A17, FALSE)</f>
        <v>513.88543599032448</v>
      </c>
      <c r="M17" s="8" t="str">
        <f ca="1">IF(L18&gt;L19, H18, H19)</f>
        <v>Agassi</v>
      </c>
      <c r="N17" s="8">
        <f ca="1">VLOOKUP(M17, $H$6:$I$19, 2, FALSE)</f>
        <v>14</v>
      </c>
      <c r="O17" s="8">
        <f ca="1">RANDBETWEEN(1,P17)</f>
        <v>10</v>
      </c>
      <c r="P17" s="8">
        <f ca="1">VLOOKUP(M17, $H$6:$L$19, 4, FALSE)</f>
        <v>12</v>
      </c>
      <c r="Q17" s="4">
        <f ca="1">HLOOKUP(O17, 'US Open'!$DX$20:$EL$36,N17, FALSE)</f>
        <v>309.88543599032442</v>
      </c>
    </row>
    <row r="18" spans="1:17" x14ac:dyDescent="0.3">
      <c r="A18" s="8">
        <v>15</v>
      </c>
      <c r="B18" s="6">
        <f>'US Open'!A34</f>
        <v>11</v>
      </c>
      <c r="C18" s="8" t="str">
        <f ca="1">'US Open'!B34</f>
        <v>Wilander</v>
      </c>
      <c r="D18" s="8">
        <f t="shared" si="3"/>
        <v>15</v>
      </c>
      <c r="E18" s="8">
        <f t="shared" ca="1" si="4"/>
        <v>12</v>
      </c>
      <c r="F18" s="8">
        <f ca="1">VLOOKUP(C18,'US Open'!DW34:EM49, 17, FALSE)</f>
        <v>13</v>
      </c>
      <c r="G18" s="4">
        <f ca="1">HLOOKUP(E18, 'US Open'!$DX$20:$EL$36,$A18, FALSE)</f>
        <v>-2.8377820779861107</v>
      </c>
      <c r="H18" s="8" t="str">
        <f ca="1">IF(G17&gt;G18, C17, C18)</f>
        <v>Agassi</v>
      </c>
      <c r="I18" s="8">
        <f ca="1">VLOOKUP(H18, $C$5:$D$20, 2, FALSE)</f>
        <v>14</v>
      </c>
      <c r="J18" s="8">
        <f ca="1">RANDBETWEEN(1,K18)</f>
        <v>4</v>
      </c>
      <c r="K18" s="8">
        <f ca="1">VLOOKUP(H18, $C$5:$F$20, 4, FALSE)</f>
        <v>12</v>
      </c>
      <c r="L18" s="4">
        <f ca="1">HLOOKUP(J18, 'US Open'!$DX$20:$EL$36,I18, FALSE)</f>
        <v>191.88543599032445</v>
      </c>
    </row>
    <row r="19" spans="1:17" x14ac:dyDescent="0.3">
      <c r="A19" s="8">
        <v>16</v>
      </c>
      <c r="B19" s="6">
        <f>'US Open'!A35</f>
        <v>12</v>
      </c>
      <c r="C19" s="8" t="str">
        <f ca="1">'US Open'!B35</f>
        <v>Wawrinka</v>
      </c>
      <c r="D19" s="8">
        <f t="shared" si="3"/>
        <v>16</v>
      </c>
      <c r="E19" s="8">
        <f t="shared" ca="1" si="4"/>
        <v>3</v>
      </c>
      <c r="F19" s="8">
        <f ca="1">VLOOKUP(C19,'US Open'!DW35:EM50, 17, FALSE)</f>
        <v>10</v>
      </c>
      <c r="G19" s="4">
        <f ca="1">HLOOKUP(E19, 'US Open'!$DX$20:$EL$36,$A19, FALSE)</f>
        <v>102.22788275536358</v>
      </c>
      <c r="H19" s="8" t="str">
        <f ca="1">IF(G19&gt;G20, C19, C20)</f>
        <v>Federer</v>
      </c>
      <c r="I19" s="8">
        <f ca="1">VLOOKUP(H19, $C$5:$D$20, 2, FALSE)</f>
        <v>17</v>
      </c>
      <c r="J19" s="8">
        <f ca="1">RANDBETWEEN(1,K19)</f>
        <v>12</v>
      </c>
      <c r="K19" s="8">
        <f ca="1">VLOOKUP(H19, $C$5:$F$20, 4, FALSE)</f>
        <v>15</v>
      </c>
      <c r="L19" s="4">
        <f ca="1">HLOOKUP(J19, 'US Open'!$DX$20:$EL$36,I19, FALSE)</f>
        <v>102.30287839006498</v>
      </c>
    </row>
    <row r="20" spans="1:17" x14ac:dyDescent="0.3">
      <c r="A20" s="8">
        <v>17</v>
      </c>
      <c r="B20" s="8">
        <f>'US Open'!A36</f>
        <v>2</v>
      </c>
      <c r="C20" s="8" t="str">
        <f>'US Open'!B36</f>
        <v>Federer</v>
      </c>
      <c r="D20" s="8">
        <f t="shared" si="3"/>
        <v>17</v>
      </c>
      <c r="E20" s="8">
        <f t="shared" ca="1" si="4"/>
        <v>3</v>
      </c>
      <c r="F20" s="8">
        <f>VLOOKUP(C20,'US Open'!DW36:EM51, 17, FALSE)</f>
        <v>15</v>
      </c>
      <c r="G20" s="4">
        <f ca="1">HLOOKUP(E20, 'US Open'!$DX$20:$EL$36,$A20, FALSE)</f>
        <v>539.30287839006496</v>
      </c>
    </row>
  </sheetData>
  <conditionalFormatting sqref="Y4:AN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AO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AO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10"/>
  <sheetViews>
    <sheetView workbookViewId="0">
      <selection activeCell="Q10" sqref="Q10"/>
    </sheetView>
  </sheetViews>
  <sheetFormatPr defaultColWidth="10.796875" defaultRowHeight="15.6" x14ac:dyDescent="0.3"/>
  <cols>
    <col min="1" max="1" width="9.5" style="11" customWidth="1"/>
    <col min="2" max="2" width="10.796875" style="11"/>
    <col min="3" max="3" width="7.296875" style="11" customWidth="1"/>
    <col min="4" max="4" width="8.296875" style="11" customWidth="1"/>
    <col min="5" max="5" width="6.296875" style="11" customWidth="1"/>
    <col min="6" max="6" width="7.296875" style="11" customWidth="1"/>
    <col min="7" max="7" width="6.5" style="11" customWidth="1"/>
    <col min="8" max="8" width="7.296875" style="11" customWidth="1"/>
    <col min="9" max="9" width="6.796875" style="11" customWidth="1"/>
    <col min="10" max="10" width="7.296875" style="11" customWidth="1"/>
    <col min="11" max="11" width="8.296875" style="11" customWidth="1"/>
    <col min="12" max="12" width="6.796875" style="11" customWidth="1"/>
    <col min="13" max="13" width="9" style="11" customWidth="1"/>
    <col min="14" max="14" width="5.69921875" style="11" customWidth="1"/>
    <col min="15" max="15" width="7" style="11" customWidth="1"/>
    <col min="16" max="16" width="8.296875" style="11" customWidth="1"/>
    <col min="17" max="17" width="7.19921875" style="11" customWidth="1"/>
    <col min="18" max="18" width="6.5" style="11" customWidth="1"/>
    <col min="19" max="19" width="7.296875" style="11" customWidth="1"/>
    <col min="20" max="16384" width="10.796875" style="11"/>
  </cols>
  <sheetData>
    <row r="1" spans="1:19" x14ac:dyDescent="0.3">
      <c r="A1" s="14" t="s">
        <v>54</v>
      </c>
      <c r="B1" s="14"/>
      <c r="C1" s="11" t="str">
        <f>'Bracket (U)'!Y1</f>
        <v>Federer</v>
      </c>
      <c r="D1" s="11" t="str">
        <f>'Bracket (U)'!Z1</f>
        <v>Djokovic</v>
      </c>
      <c r="E1" s="11" t="str">
        <f>'Bracket (U)'!AA1</f>
        <v>Nadal</v>
      </c>
      <c r="F1" s="11" t="str">
        <f>'Bracket (U)'!AB1</f>
        <v>Agassi</v>
      </c>
      <c r="G1" s="11" t="str">
        <f>'Bracket (U)'!AC1</f>
        <v>Lendl</v>
      </c>
      <c r="H1" s="11" t="str">
        <f>'Bracket (U)'!AD1</f>
        <v>Murray</v>
      </c>
      <c r="I1" s="11" t="str">
        <f>'Bracket (U)'!AE1</f>
        <v>Edberg</v>
      </c>
      <c r="J1" s="11" t="str">
        <f>'Bracket (U)'!AF1</f>
        <v>Sampras</v>
      </c>
      <c r="K1" s="11" t="str">
        <f>'Bracket (U)'!AG1</f>
        <v>Wilander</v>
      </c>
      <c r="L1" s="11" t="str">
        <f>'Bracket (U)'!AH1</f>
        <v>Courier</v>
      </c>
      <c r="M1" s="11" t="str">
        <f>'Bracket (U)'!AI1</f>
        <v>Wawrinka</v>
      </c>
      <c r="N1" s="11" t="str">
        <f>'Bracket (U)'!AJ1</f>
        <v>Vilas</v>
      </c>
      <c r="O1" s="11" t="str">
        <f>'Bracket (U)'!AK1</f>
        <v>Becker</v>
      </c>
      <c r="P1" s="11" t="str">
        <f>'Bracket (U)'!AL1</f>
        <v>McEnroe</v>
      </c>
      <c r="Q1" s="11" t="str">
        <f>'Bracket (U)'!AM1</f>
        <v>Connors</v>
      </c>
      <c r="R1" s="11" t="str">
        <f>'Bracket (U)'!AN1</f>
        <v>Borg</v>
      </c>
      <c r="S1" s="11" t="str">
        <f>'Bracket (U)'!AO1</f>
        <v>Kuerten</v>
      </c>
    </row>
    <row r="2" spans="1:19" x14ac:dyDescent="0.3">
      <c r="A2" s="14" t="s">
        <v>56</v>
      </c>
      <c r="B2" s="11" t="s">
        <v>55</v>
      </c>
      <c r="C2" s="12">
        <f ca="1">HLOOKUP(C$1,'Bracket (A)'!$Y$1:$AO$5,5,FALSE)</f>
        <v>0.39750000000000002</v>
      </c>
      <c r="D2" s="12">
        <f ca="1">HLOOKUP(D$1,'Bracket (A)'!$Y$1:$AO$5,5,FALSE)</f>
        <v>0.1</v>
      </c>
      <c r="E2" s="12">
        <f ca="1">HLOOKUP(E$1,'Bracket (A)'!$Y$1:$AO$5,5,FALSE)</f>
        <v>7.2999999999999995E-2</v>
      </c>
      <c r="F2" s="12">
        <f ca="1">HLOOKUP(F$1,'Bracket (A)'!$Y$1:$AO$5,5,FALSE)</f>
        <v>0.11799999999999999</v>
      </c>
      <c r="G2" s="12">
        <f ca="1">HLOOKUP(G$1,'Bracket (A)'!$Y$1:$AO$5,5,FALSE)</f>
        <v>6.25E-2</v>
      </c>
      <c r="H2" s="12">
        <f ca="1">HLOOKUP(H$1,'Bracket (A)'!$Y$1:$AO$5,5,FALSE)</f>
        <v>4.2500000000000003E-2</v>
      </c>
      <c r="I2" s="12">
        <f ca="1">HLOOKUP(I$1,'Bracket (A)'!$Y$1:$AO$5,5,FALSE)</f>
        <v>6.25E-2</v>
      </c>
      <c r="J2" s="12">
        <f ca="1">HLOOKUP(J$1,'Bracket (A)'!$Y$1:$AO$5,5,FALSE)</f>
        <v>4.3499999999999997E-2</v>
      </c>
      <c r="K2" s="12">
        <f ca="1">HLOOKUP(K$1,'Bracket (A)'!$Y$1:$AO$5,5,FALSE)</f>
        <v>2.1999999999999999E-2</v>
      </c>
      <c r="L2" s="12">
        <f ca="1">HLOOKUP(L$1,'Bracket (A)'!$Y$1:$AO$5,5,FALSE)</f>
        <v>3.95E-2</v>
      </c>
      <c r="M2" s="12">
        <f ca="1">HLOOKUP(M$1,'Bracket (A)'!$Y$1:$AO$5,5,FALSE)</f>
        <v>1.0500000000000001E-2</v>
      </c>
      <c r="N2" s="12">
        <f ca="1">HLOOKUP(N$1,'Bracket (A)'!$Y$1:$AO$5,5,FALSE)</f>
        <v>1.55E-2</v>
      </c>
      <c r="O2" s="12">
        <f ca="1">HLOOKUP(O$1,'Bracket (A)'!$Y$1:$AO$5,5,FALSE)</f>
        <v>3.0000000000000001E-3</v>
      </c>
      <c r="P2" s="12">
        <f ca="1">HLOOKUP(P$1,'Bracket (A)'!$Y$1:$AO$5,5,FALSE)</f>
        <v>7.0000000000000001E-3</v>
      </c>
      <c r="Q2" s="12">
        <f ca="1">HLOOKUP(Q$1,'Bracket (A)'!$Y$1:$AO$5,5,FALSE)</f>
        <v>2E-3</v>
      </c>
      <c r="R2" s="12">
        <f ca="1">HLOOKUP(R$1,'Bracket (A)'!$Y$1:$AO$5,5,FALSE)</f>
        <v>1E-3</v>
      </c>
      <c r="S2" s="12">
        <f>HLOOKUP(S$1,'Bracket (A)'!$Y$1:$AO$5,5,FALSE)</f>
        <v>0</v>
      </c>
    </row>
    <row r="3" spans="1:19" x14ac:dyDescent="0.3">
      <c r="A3" s="14"/>
      <c r="B3" s="11" t="s">
        <v>57</v>
      </c>
      <c r="C3" s="12">
        <f ca="1">HLOOKUP(C$1,'Bracket (F)'!$Y$1:$AO$5,5,FALSE)</f>
        <v>4.0500000000000001E-2</v>
      </c>
      <c r="D3" s="12">
        <f ca="1">HLOOKUP(D$1,'Bracket (F)'!$Y$1:$AO$5,5,FALSE)</f>
        <v>7.6999999999999999E-2</v>
      </c>
      <c r="E3" s="12">
        <f ca="1">HLOOKUP(E$1,'Bracket (F)'!$Y$1:$AO$5,5,FALSE)</f>
        <v>0.52500000000000002</v>
      </c>
      <c r="F3" s="12">
        <f ca="1">HLOOKUP(F$1,'Bracket (F)'!$Y$1:$AO$5,5,FALSE)</f>
        <v>8.0000000000000002E-3</v>
      </c>
      <c r="G3" s="12">
        <f ca="1">HLOOKUP(G$1,'Bracket (F)'!$Y$1:$AO$5,5,FALSE)</f>
        <v>3.5000000000000003E-2</v>
      </c>
      <c r="H3" s="12">
        <f ca="1">HLOOKUP(H$1,'Bracket (F)'!$Y$1:$AO$5,5,FALSE)</f>
        <v>3.3500000000000002E-2</v>
      </c>
      <c r="I3" s="12">
        <f ca="1">HLOOKUP(I$1,'Bracket (F)'!$Y$1:$AO$5,5,FALSE)</f>
        <v>4.4999999999999997E-3</v>
      </c>
      <c r="J3" s="12">
        <f ca="1">HLOOKUP(J$1,'Bracket (F)'!$Y$1:$AO$5,5,FALSE)</f>
        <v>0</v>
      </c>
      <c r="K3" s="12">
        <f ca="1">HLOOKUP(K$1,'Bracket (F)'!$Y$1:$AO$5,5,FALSE)</f>
        <v>0.05</v>
      </c>
      <c r="L3" s="12">
        <f ca="1">HLOOKUP(L$1,'Bracket (F)'!$Y$1:$AO$5,5,FALSE)</f>
        <v>2.35E-2</v>
      </c>
      <c r="M3" s="12">
        <f ca="1">HLOOKUP(M$1,'Bracket (F)'!$Y$1:$AO$5,5,FALSE)</f>
        <v>1.55E-2</v>
      </c>
      <c r="N3" s="12">
        <f ca="1">HLOOKUP(N$1,'Bracket (F)'!$Y$1:$AO$5,5,FALSE)</f>
        <v>3.1E-2</v>
      </c>
      <c r="O3" s="12">
        <f ca="1">HLOOKUP(O$1,'Bracket (F)'!$Y$1:$AO$5,5,FALSE)</f>
        <v>8.5000000000000006E-3</v>
      </c>
      <c r="P3" s="12">
        <f ca="1">HLOOKUP(P$1,'Bracket (F)'!$Y$1:$AO$5,5,FALSE)</f>
        <v>3.5000000000000001E-3</v>
      </c>
      <c r="Q3" s="12">
        <f ca="1">HLOOKUP(Q$1,'Bracket (F)'!$Y$1:$AO$5,5,FALSE)</f>
        <v>1.4E-2</v>
      </c>
      <c r="R3" s="12">
        <f ca="1">HLOOKUP(R$1,'Bracket (F)'!$Y$1:$AO$5,5,FALSE)</f>
        <v>0.1305</v>
      </c>
      <c r="S3" s="12">
        <f ca="1">HLOOKUP(S$1,'Bracket (F)'!$Y$1:$AO$5,5,FALSE)</f>
        <v>5.0000000000000001E-3</v>
      </c>
    </row>
    <row r="4" spans="1:19" x14ac:dyDescent="0.3">
      <c r="A4" s="14"/>
      <c r="B4" s="11" t="s">
        <v>58</v>
      </c>
      <c r="C4" s="12">
        <f ca="1">HLOOKUP(C$1,'Bracket (W)'!$Y$1:$AO$5,5,FALSE)</f>
        <v>0.38800000000000001</v>
      </c>
      <c r="D4" s="12">
        <f ca="1">HLOOKUP(D$1,'Bracket (W)'!$Y$1:$AO$5,5,FALSE)</f>
        <v>9.0999999999999998E-2</v>
      </c>
      <c r="E4" s="12">
        <f ca="1">HLOOKUP(E$1,'Bracket (W)'!$Y$1:$AO$5,5,FALSE)</f>
        <v>7.4999999999999997E-3</v>
      </c>
      <c r="F4" s="12">
        <f ca="1">HLOOKUP(F$1,'Bracket (W)'!$Y$1:$AO$5,5,FALSE)</f>
        <v>7.4999999999999997E-3</v>
      </c>
      <c r="G4" s="12">
        <f ca="1">HLOOKUP(G$1,'Bracket (W)'!$Y$1:$AO$5,5,FALSE)</f>
        <v>6.0000000000000001E-3</v>
      </c>
      <c r="H4" s="12">
        <f ca="1">HLOOKUP(H$1,'Bracket (W)'!$Y$1:$AO$5,5,FALSE)</f>
        <v>5.1499999999999997E-2</v>
      </c>
      <c r="I4" s="12">
        <f ca="1">HLOOKUP(I$1,'Bracket (W)'!$Y$1:$AO$5,5,FALSE)</f>
        <v>8.9999999999999993E-3</v>
      </c>
      <c r="J4" s="12">
        <f ca="1">HLOOKUP(J$1,'Bracket (W)'!$Y$1:$AO$5,5,FALSE)</f>
        <v>4.1000000000000002E-2</v>
      </c>
      <c r="K4" s="12">
        <f ca="1">HLOOKUP(K$1,'Bracket (W)'!$Y$1:$AO$5,5,FALSE)</f>
        <v>1E-3</v>
      </c>
      <c r="L4" s="12">
        <f ca="1">HLOOKUP(L$1,'Bracket (W)'!$Y$1:$AO$5,5,FALSE)</f>
        <v>1E-3</v>
      </c>
      <c r="M4" s="12">
        <f ca="1">HLOOKUP(M$1,'Bracket (W)'!$Y$1:$AO$5,5,FALSE)</f>
        <v>0</v>
      </c>
      <c r="N4" s="12">
        <f ca="1">HLOOKUP(N$1,'Bracket (W)'!$Y$1:$AO$5,5,FALSE)</f>
        <v>0</v>
      </c>
      <c r="O4" s="12">
        <f ca="1">HLOOKUP(O$1,'Bracket (W)'!$Y$1:$AO$5,5,FALSE)</f>
        <v>0.10100000000000001</v>
      </c>
      <c r="P4" s="12">
        <f ca="1">HLOOKUP(P$1,'Bracket (W)'!$Y$1:$AO$5,5,FALSE)</f>
        <v>3.15E-2</v>
      </c>
      <c r="Q4" s="12">
        <f ca="1">HLOOKUP(Q$1,'Bracket (W)'!$Y$1:$AO$5,5,FALSE)</f>
        <v>9.1499999999999998E-2</v>
      </c>
      <c r="R4" s="12">
        <f ca="1">HLOOKUP(R$1,'Bracket (W)'!$Y$1:$AO$5,5,FALSE)</f>
        <v>0.17249999999999999</v>
      </c>
      <c r="S4" s="12">
        <f ca="1">HLOOKUP(S$1,'Bracket (W)'!$Y$1:$AO$5,5,FALSE)</f>
        <v>0</v>
      </c>
    </row>
    <row r="5" spans="1:19" x14ac:dyDescent="0.3">
      <c r="A5" s="14"/>
      <c r="B5" s="11" t="s">
        <v>59</v>
      </c>
      <c r="C5" s="12">
        <f ca="1">HLOOKUP(C$1,'Bracket (U)'!$Y$1:$AO$5,5,FALSE)</f>
        <v>0.17050000000000001</v>
      </c>
      <c r="D5" s="12">
        <f ca="1">HLOOKUP(D$1,'Bracket (U)'!$Y$1:$AO$5,5,FALSE)</f>
        <v>9.8000000000000004E-2</v>
      </c>
      <c r="E5" s="12">
        <f ca="1">HLOOKUP(E$1,'Bracket (U)'!$Y$1:$AO$5,5,FALSE)</f>
        <v>8.9999999999999993E-3</v>
      </c>
      <c r="F5" s="12">
        <f ca="1">HLOOKUP(F$1,'Bracket (U)'!$Y$1:$AO$5,5,FALSE)</f>
        <v>5.7500000000000002E-2</v>
      </c>
      <c r="G5" s="12">
        <f ca="1">HLOOKUP(G$1,'Bracket (U)'!$Y$1:$AO$5,5,FALSE)</f>
        <v>0.14649999999999999</v>
      </c>
      <c r="H5" s="12">
        <f ca="1">HLOOKUP(H$1,'Bracket (U)'!$Y$1:$AO$5,5,FALSE)</f>
        <v>1.0500000000000001E-2</v>
      </c>
      <c r="I5" s="12">
        <f ca="1">HLOOKUP(I$1,'Bracket (U)'!$Y$1:$AO$5,5,FALSE)</f>
        <v>1.2E-2</v>
      </c>
      <c r="J5" s="12">
        <f ca="1">HLOOKUP(J$1,'Bracket (U)'!$Y$1:$AO$5,5,FALSE)</f>
        <v>0.11</v>
      </c>
      <c r="K5" s="12">
        <f ca="1">HLOOKUP(K$1,'Bracket (U)'!$Y$1:$AO$5,5,FALSE)</f>
        <v>7.0000000000000001E-3</v>
      </c>
      <c r="L5" s="12">
        <f ca="1">HLOOKUP(L$1,'Bracket (U)'!$Y$1:$AO$5,5,FALSE)</f>
        <v>7.0000000000000001E-3</v>
      </c>
      <c r="M5" s="12">
        <f ca="1">HLOOKUP(M$1,'Bracket (U)'!$Y$1:$AO$5,5,FALSE)</f>
        <v>5.4999999999999997E-3</v>
      </c>
      <c r="N5" s="12">
        <f ca="1">HLOOKUP(N$1,'Bracket (U)'!$Y$1:$AO$5,5,FALSE)</f>
        <v>5.0000000000000001E-3</v>
      </c>
      <c r="O5" s="12">
        <f ca="1">HLOOKUP(O$1,'Bracket (U)'!$Y$1:$AO$5,5,FALSE)</f>
        <v>3.5000000000000001E-3</v>
      </c>
      <c r="P5" s="12">
        <f ca="1">HLOOKUP(P$1,'Bracket (U)'!$Y$1:$AO$5,5,FALSE)</f>
        <v>5.1999999999999998E-2</v>
      </c>
      <c r="Q5" s="12">
        <f ca="1">HLOOKUP(Q$1,'Bracket (U)'!$Y$1:$AO$5,5,FALSE)</f>
        <v>0.29549999999999998</v>
      </c>
      <c r="R5" s="12">
        <f ca="1">HLOOKUP(R$1,'Bracket (U)'!$Y$1:$AO$5,5,FALSE)</f>
        <v>1.0500000000000001E-2</v>
      </c>
      <c r="S5" s="12">
        <f ca="1">HLOOKUP(S$1,'Bracket (U)'!$Y$1:$AO$5,5,FALSE)</f>
        <v>0</v>
      </c>
    </row>
    <row r="6" spans="1:19" x14ac:dyDescent="0.3">
      <c r="A6" s="14" t="s">
        <v>60</v>
      </c>
      <c r="B6" s="11" t="s">
        <v>55</v>
      </c>
      <c r="C6" s="11">
        <f ca="1">C2*'Bracket (A)'!$X$4</f>
        <v>795</v>
      </c>
      <c r="D6" s="11">
        <f ca="1">D2*'Bracket (A)'!$X$4</f>
        <v>200</v>
      </c>
      <c r="E6" s="11">
        <f ca="1">E2*'Bracket (A)'!$X$4</f>
        <v>146</v>
      </c>
      <c r="F6" s="11">
        <f ca="1">F2*'Bracket (A)'!$X$4</f>
        <v>236</v>
      </c>
      <c r="G6" s="11">
        <f ca="1">G2*'Bracket (A)'!$X$4</f>
        <v>125</v>
      </c>
      <c r="H6" s="11">
        <f ca="1">H2*'Bracket (A)'!$X$4</f>
        <v>85</v>
      </c>
      <c r="I6" s="11">
        <f ca="1">I2*'Bracket (A)'!$X$4</f>
        <v>125</v>
      </c>
      <c r="J6" s="11">
        <f ca="1">J2*'Bracket (A)'!$X$4</f>
        <v>87</v>
      </c>
      <c r="K6" s="11">
        <f ca="1">K2*'Bracket (A)'!$X$4</f>
        <v>44</v>
      </c>
      <c r="L6" s="11">
        <f ca="1">L2*'Bracket (A)'!$X$4</f>
        <v>79</v>
      </c>
      <c r="M6" s="11">
        <f ca="1">M2*'Bracket (A)'!$X$4</f>
        <v>21</v>
      </c>
      <c r="N6" s="11">
        <f ca="1">N2*'Bracket (A)'!$X$4</f>
        <v>31</v>
      </c>
      <c r="O6" s="11">
        <f ca="1">O2*'Bracket (A)'!$X$4</f>
        <v>6</v>
      </c>
      <c r="P6" s="11">
        <f ca="1">P2*'Bracket (A)'!$X$4</f>
        <v>14</v>
      </c>
      <c r="Q6" s="11">
        <f ca="1">Q2*'Bracket (A)'!$X$4</f>
        <v>4</v>
      </c>
      <c r="R6" s="11">
        <f ca="1">R2*'Bracket (A)'!$X$4</f>
        <v>2</v>
      </c>
      <c r="S6" s="11">
        <f ca="1">S2*'Bracket (A)'!$X$4</f>
        <v>0</v>
      </c>
    </row>
    <row r="7" spans="1:19" x14ac:dyDescent="0.3">
      <c r="A7" s="14"/>
      <c r="B7" s="11" t="s">
        <v>57</v>
      </c>
      <c r="C7" s="11">
        <f ca="1">C3*'Bracket (F)'!$X$4</f>
        <v>81</v>
      </c>
      <c r="D7" s="11">
        <f ca="1">D3*'Bracket (F)'!$X$4</f>
        <v>154</v>
      </c>
      <c r="E7" s="11">
        <f ca="1">E3*'Bracket (F)'!$X$4</f>
        <v>1050</v>
      </c>
      <c r="F7" s="11">
        <f ca="1">F3*'Bracket (F)'!$X$4</f>
        <v>16</v>
      </c>
      <c r="G7" s="11">
        <f ca="1">G3*'Bracket (F)'!$X$4</f>
        <v>70</v>
      </c>
      <c r="H7" s="11">
        <f ca="1">H3*'Bracket (F)'!$X$4</f>
        <v>67</v>
      </c>
      <c r="I7" s="11">
        <f ca="1">I3*'Bracket (F)'!$X$4</f>
        <v>9</v>
      </c>
      <c r="J7" s="11">
        <f ca="1">J3*'Bracket (F)'!$X$4</f>
        <v>0</v>
      </c>
      <c r="K7" s="11">
        <f ca="1">K3*'Bracket (F)'!$X$4</f>
        <v>100</v>
      </c>
      <c r="L7" s="11">
        <f ca="1">L3*'Bracket (F)'!$X$4</f>
        <v>47</v>
      </c>
      <c r="M7" s="11">
        <f ca="1">M3*'Bracket (F)'!$X$4</f>
        <v>31</v>
      </c>
      <c r="N7" s="11">
        <f ca="1">N3*'Bracket (F)'!$X$4</f>
        <v>62</v>
      </c>
      <c r="O7" s="11">
        <f ca="1">O3*'Bracket (F)'!$X$4</f>
        <v>17</v>
      </c>
      <c r="P7" s="11">
        <f ca="1">P3*'Bracket (F)'!$X$4</f>
        <v>7</v>
      </c>
      <c r="Q7" s="11">
        <f ca="1">Q3*'Bracket (F)'!$X$4</f>
        <v>28</v>
      </c>
      <c r="R7" s="11">
        <f ca="1">R3*'Bracket (F)'!$X$4</f>
        <v>261</v>
      </c>
      <c r="S7" s="11">
        <f ca="1">S3*'Bracket (F)'!$X$4</f>
        <v>10</v>
      </c>
    </row>
    <row r="8" spans="1:19" x14ac:dyDescent="0.3">
      <c r="A8" s="14"/>
      <c r="B8" s="11" t="s">
        <v>58</v>
      </c>
      <c r="C8" s="11">
        <f ca="1">C4*'Bracket (W)'!$X$4</f>
        <v>776</v>
      </c>
      <c r="D8" s="11">
        <f ca="1">D4*'Bracket (W)'!$X$4</f>
        <v>182</v>
      </c>
      <c r="E8" s="11">
        <f ca="1">E4*'Bracket (W)'!$X$4</f>
        <v>15</v>
      </c>
      <c r="F8" s="11">
        <f ca="1">F4*'Bracket (W)'!$X$4</f>
        <v>15</v>
      </c>
      <c r="G8" s="11">
        <f ca="1">G4*'Bracket (W)'!$X$4</f>
        <v>12</v>
      </c>
      <c r="H8" s="11">
        <f ca="1">H4*'Bracket (W)'!$X$4</f>
        <v>103</v>
      </c>
      <c r="I8" s="11">
        <f ca="1">I4*'Bracket (W)'!$X$4</f>
        <v>18</v>
      </c>
      <c r="J8" s="11">
        <f ca="1">J4*'Bracket (W)'!$X$4</f>
        <v>82</v>
      </c>
      <c r="K8" s="11">
        <f ca="1">K4*'Bracket (W)'!$X$4</f>
        <v>2</v>
      </c>
      <c r="L8" s="11">
        <f ca="1">L4*'Bracket (W)'!$X$4</f>
        <v>2</v>
      </c>
      <c r="M8" s="11">
        <f ca="1">M4*'Bracket (W)'!$X$4</f>
        <v>0</v>
      </c>
      <c r="N8" s="11">
        <f ca="1">N4*'Bracket (W)'!$X$4</f>
        <v>0</v>
      </c>
      <c r="O8" s="11">
        <f ca="1">O4*'Bracket (W)'!$X$4</f>
        <v>202</v>
      </c>
      <c r="P8" s="11">
        <f ca="1">P4*'Bracket (W)'!$X$4</f>
        <v>63</v>
      </c>
      <c r="Q8" s="11">
        <f ca="1">Q4*'Bracket (W)'!$X$4</f>
        <v>183</v>
      </c>
      <c r="R8" s="11">
        <f ca="1">R4*'Bracket (W)'!$X$4</f>
        <v>345</v>
      </c>
      <c r="S8" s="11">
        <f ca="1">S4*'Bracket (W)'!$X$4</f>
        <v>0</v>
      </c>
    </row>
    <row r="9" spans="1:19" x14ac:dyDescent="0.3">
      <c r="A9" s="14"/>
      <c r="B9" s="11" t="s">
        <v>59</v>
      </c>
      <c r="C9" s="11">
        <f ca="1">C5*'Bracket (U)'!$X$4</f>
        <v>341</v>
      </c>
      <c r="D9" s="11">
        <f ca="1">D5*'Bracket (U)'!$X$4</f>
        <v>196</v>
      </c>
      <c r="E9" s="11">
        <f ca="1">E5*'Bracket (U)'!$X$4</f>
        <v>18</v>
      </c>
      <c r="F9" s="11">
        <f ca="1">F5*'Bracket (U)'!$X$4</f>
        <v>115</v>
      </c>
      <c r="G9" s="11">
        <f ca="1">G5*'Bracket (U)'!$X$4</f>
        <v>293</v>
      </c>
      <c r="H9" s="11">
        <f ca="1">H5*'Bracket (U)'!$X$4</f>
        <v>21</v>
      </c>
      <c r="I9" s="11">
        <f ca="1">I5*'Bracket (U)'!$X$4</f>
        <v>24</v>
      </c>
      <c r="J9" s="11">
        <f ca="1">J5*'Bracket (U)'!$X$4</f>
        <v>220</v>
      </c>
      <c r="K9" s="11">
        <f ca="1">K5*'Bracket (U)'!$X$4</f>
        <v>14</v>
      </c>
      <c r="L9" s="11">
        <f ca="1">L5*'Bracket (U)'!$X$4</f>
        <v>14</v>
      </c>
      <c r="M9" s="11">
        <f ca="1">M5*'Bracket (U)'!$X$4</f>
        <v>11</v>
      </c>
      <c r="N9" s="11">
        <f ca="1">N5*'Bracket (U)'!$X$4</f>
        <v>10</v>
      </c>
      <c r="O9" s="11">
        <f ca="1">O5*'Bracket (U)'!$X$4</f>
        <v>7</v>
      </c>
      <c r="P9" s="11">
        <f ca="1">P5*'Bracket (U)'!$X$4</f>
        <v>104</v>
      </c>
      <c r="Q9" s="11">
        <f ca="1">Q5*'Bracket (U)'!$X$4</f>
        <v>591</v>
      </c>
      <c r="R9" s="11">
        <f ca="1">R5*'Bracket (U)'!$X$4</f>
        <v>21</v>
      </c>
      <c r="S9" s="11">
        <f ca="1">S5*'Bracket (U)'!$X$4</f>
        <v>0</v>
      </c>
    </row>
    <row r="10" spans="1:19" x14ac:dyDescent="0.3">
      <c r="A10" s="14"/>
      <c r="B10" s="11" t="s">
        <v>61</v>
      </c>
      <c r="C10" s="11">
        <f t="shared" ref="C10:S10" ca="1" si="0">SUM(C6:C9)</f>
        <v>1993</v>
      </c>
      <c r="D10" s="11">
        <f t="shared" ca="1" si="0"/>
        <v>732</v>
      </c>
      <c r="E10" s="11">
        <f t="shared" ca="1" si="0"/>
        <v>1229</v>
      </c>
      <c r="F10" s="11">
        <f t="shared" ca="1" si="0"/>
        <v>382</v>
      </c>
      <c r="G10" s="11">
        <f t="shared" ca="1" si="0"/>
        <v>500</v>
      </c>
      <c r="H10" s="11">
        <f t="shared" ca="1" si="0"/>
        <v>276</v>
      </c>
      <c r="I10" s="11">
        <f t="shared" ca="1" si="0"/>
        <v>176</v>
      </c>
      <c r="J10" s="11">
        <f t="shared" ca="1" si="0"/>
        <v>389</v>
      </c>
      <c r="K10" s="11">
        <f t="shared" ca="1" si="0"/>
        <v>160</v>
      </c>
      <c r="L10" s="11">
        <f t="shared" ca="1" si="0"/>
        <v>142</v>
      </c>
      <c r="M10" s="11">
        <f t="shared" ca="1" si="0"/>
        <v>63</v>
      </c>
      <c r="N10" s="11">
        <f t="shared" ca="1" si="0"/>
        <v>103</v>
      </c>
      <c r="O10" s="11">
        <f t="shared" ca="1" si="0"/>
        <v>232</v>
      </c>
      <c r="P10" s="11">
        <f t="shared" ca="1" si="0"/>
        <v>188</v>
      </c>
      <c r="Q10" s="11">
        <f t="shared" ca="1" si="0"/>
        <v>806</v>
      </c>
      <c r="R10" s="11">
        <f t="shared" ca="1" si="0"/>
        <v>629</v>
      </c>
      <c r="S10" s="11">
        <f t="shared" ca="1" si="0"/>
        <v>10</v>
      </c>
    </row>
  </sheetData>
  <mergeCells count="3">
    <mergeCell ref="A1:B1"/>
    <mergeCell ref="A2:A5"/>
    <mergeCell ref="A6:A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Australian Open</vt:lpstr>
      <vt:lpstr>Bracket (A)</vt:lpstr>
      <vt:lpstr>French Open</vt:lpstr>
      <vt:lpstr>Bracket (F)</vt:lpstr>
      <vt:lpstr>Wimbledon</vt:lpstr>
      <vt:lpstr>Bracket (W)</vt:lpstr>
      <vt:lpstr>US Open</vt:lpstr>
      <vt:lpstr>Bracket (U)</vt:lpstr>
      <vt:lpstr>Leaderboard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Caleb A. Skinner</cp:lastModifiedBy>
  <dcterms:created xsi:type="dcterms:W3CDTF">2018-07-26T21:09:59Z</dcterms:created>
  <dcterms:modified xsi:type="dcterms:W3CDTF">2020-02-07T16:51:29Z</dcterms:modified>
</cp:coreProperties>
</file>